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SQL files\"/>
    </mc:Choice>
  </mc:AlternateContent>
  <bookViews>
    <workbookView xWindow="0" yWindow="0" windowWidth="20490" windowHeight="7245" activeTab="1"/>
  </bookViews>
  <sheets>
    <sheet name="Question 1" sheetId="1" r:id="rId1"/>
    <sheet name="Question 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2" i="2" l="1"/>
  <c r="F36" i="2"/>
  <c r="F37" i="2"/>
  <c r="F24" i="2"/>
  <c r="F30" i="2" s="1"/>
  <c r="F26" i="2"/>
  <c r="F31" i="2"/>
  <c r="F25" i="2" l="1"/>
  <c r="F29" i="2" l="1"/>
  <c r="F23" i="2"/>
  <c r="D26" i="1"/>
  <c r="F28" i="2" l="1"/>
  <c r="F32" i="2" s="1"/>
  <c r="D24" i="1"/>
  <c r="D23" i="1" l="1"/>
  <c r="D25" i="1" s="1"/>
  <c r="D29" i="1" s="1"/>
</calcChain>
</file>

<file path=xl/sharedStrings.xml><?xml version="1.0" encoding="utf-8"?>
<sst xmlns="http://schemas.openxmlformats.org/spreadsheetml/2006/main" count="33" uniqueCount="28">
  <si>
    <t>Girls</t>
  </si>
  <si>
    <t>Boys</t>
  </si>
  <si>
    <t>Mean</t>
  </si>
  <si>
    <t>Standard Deviation</t>
  </si>
  <si>
    <t>Size</t>
  </si>
  <si>
    <t>Mean Difference</t>
  </si>
  <si>
    <t>Standard Error</t>
  </si>
  <si>
    <t>Z-Value</t>
  </si>
  <si>
    <t>Critical Value</t>
  </si>
  <si>
    <t>final Decision</t>
  </si>
  <si>
    <t>Ans</t>
  </si>
  <si>
    <t>Question</t>
  </si>
  <si>
    <t>Category</t>
  </si>
  <si>
    <t>Diagnosed as Cancer</t>
  </si>
  <si>
    <t>Without Cancer</t>
  </si>
  <si>
    <t>Total</t>
  </si>
  <si>
    <t>Smokers</t>
  </si>
  <si>
    <t>Non-Smokers</t>
  </si>
  <si>
    <t>Expected cancer for Smokers:</t>
  </si>
  <si>
    <t>Expected cancer for non-Smokers:</t>
  </si>
  <si>
    <t>Expected no Cancer for Smokers:</t>
  </si>
  <si>
    <t>Expected no Cancer for non-Smokers:</t>
  </si>
  <si>
    <t>Chi-Squer cancer for smokers</t>
  </si>
  <si>
    <t>Chi-Squer cancer for no-smokers</t>
  </si>
  <si>
    <t>Total-Chi-Squer</t>
  </si>
  <si>
    <t>Finally Answer</t>
  </si>
  <si>
    <t xml:space="preserve">Chi-Square Test P-value </t>
  </si>
  <si>
    <t>Degree of Freedom: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</si>
</sst>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</xdr:colOff>
      <xdr:row>0</xdr:row>
      <xdr:rowOff>47624</xdr:rowOff>
    </xdr:from>
    <xdr:ext cx="6657975" cy="968983"/>
    <xdr:sp macro="" textlink="">
      <xdr:nvSpPr>
        <xdr:cNvPr id="2" name="TextBox 1"/>
        <xdr:cNvSpPr txBox="1"/>
      </xdr:nvSpPr>
      <xdr:spPr>
        <a:xfrm>
          <a:off x="1238250" y="47624"/>
          <a:ext cx="6657975" cy="96898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/>
            <a:t>Question 1. </a:t>
          </a:r>
        </a:p>
        <a:p>
          <a:r>
            <a:rPr lang="en-US" sz="1400"/>
            <a:t>There is an assumption that there is no significant difference between boys and girls with respect to intelligence. Tests are conducted on two groups and the following are the observations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0</xdr:row>
      <xdr:rowOff>123825</xdr:rowOff>
    </xdr:from>
    <xdr:to>
      <xdr:col>13</xdr:col>
      <xdr:colOff>209550</xdr:colOff>
      <xdr:row>4</xdr:row>
      <xdr:rowOff>180975</xdr:rowOff>
    </xdr:to>
    <xdr:sp macro="" textlink="">
      <xdr:nvSpPr>
        <xdr:cNvPr id="2" name="TextBox 1"/>
        <xdr:cNvSpPr txBox="1"/>
      </xdr:nvSpPr>
      <xdr:spPr>
        <a:xfrm>
          <a:off x="2305050" y="123825"/>
          <a:ext cx="5829300" cy="81915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/>
            <a:t>Question 2. </a:t>
          </a:r>
        </a:p>
        <a:p>
          <a:r>
            <a:rPr lang="en-US" sz="1400"/>
            <a:t>Analyze the below data and tell whether you can conclude that smoking causes cancer or not?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9"/>
  <sheetViews>
    <sheetView showGridLines="0" topLeftCell="A21" workbookViewId="0">
      <selection activeCell="D24" sqref="D24"/>
    </sheetView>
  </sheetViews>
  <sheetFormatPr defaultRowHeight="15" x14ac:dyDescent="0.25"/>
  <cols>
    <col min="3" max="3" width="16.7109375" customWidth="1"/>
    <col min="4" max="4" width="23.85546875" customWidth="1"/>
    <col min="5" max="5" width="22.7109375" customWidth="1"/>
    <col min="6" max="6" width="14" customWidth="1"/>
  </cols>
  <sheetData>
    <row r="1" spans="2:10" x14ac:dyDescent="0.25">
      <c r="C1" s="6"/>
      <c r="D1" s="6"/>
      <c r="E1" s="6"/>
      <c r="F1" s="6"/>
      <c r="G1" s="6"/>
      <c r="H1" s="6"/>
      <c r="I1" s="6"/>
      <c r="J1" s="6"/>
    </row>
    <row r="2" spans="2:10" x14ac:dyDescent="0.25">
      <c r="C2" s="6"/>
      <c r="D2" s="6"/>
      <c r="E2" s="6"/>
      <c r="F2" s="6"/>
      <c r="G2" s="6"/>
      <c r="H2" s="6"/>
      <c r="I2" s="6"/>
      <c r="J2" s="6"/>
    </row>
    <row r="3" spans="2:10" x14ac:dyDescent="0.25">
      <c r="C3" s="6"/>
      <c r="D3" s="6"/>
      <c r="E3" s="6"/>
      <c r="F3" s="6"/>
      <c r="G3" s="6"/>
      <c r="H3" s="6"/>
      <c r="I3" s="6"/>
      <c r="J3" s="6"/>
    </row>
    <row r="9" spans="2:10" x14ac:dyDescent="0.25">
      <c r="B9" s="5" t="s">
        <v>11</v>
      </c>
    </row>
    <row r="10" spans="2:10" x14ac:dyDescent="0.25">
      <c r="C10" s="1"/>
      <c r="D10" s="1"/>
      <c r="E10" s="1"/>
      <c r="F10" s="1"/>
    </row>
    <row r="11" spans="2:10" x14ac:dyDescent="0.25">
      <c r="C11" s="1"/>
      <c r="D11" s="2" t="s">
        <v>2</v>
      </c>
      <c r="E11" s="2" t="s">
        <v>3</v>
      </c>
      <c r="F11" s="2" t="s">
        <v>4</v>
      </c>
    </row>
    <row r="12" spans="2:10" x14ac:dyDescent="0.25">
      <c r="C12" s="1" t="s">
        <v>0</v>
      </c>
      <c r="D12" s="1">
        <v>89</v>
      </c>
      <c r="E12" s="1">
        <v>4</v>
      </c>
      <c r="F12" s="1">
        <v>50</v>
      </c>
    </row>
    <row r="13" spans="2:10" x14ac:dyDescent="0.25">
      <c r="C13" s="1" t="s">
        <v>1</v>
      </c>
      <c r="D13" s="1">
        <v>82</v>
      </c>
      <c r="E13" s="1">
        <v>9</v>
      </c>
      <c r="F13" s="1">
        <v>120</v>
      </c>
    </row>
    <row r="14" spans="2:10" x14ac:dyDescent="0.25">
      <c r="C14" s="1"/>
      <c r="D14" s="1"/>
      <c r="E14" s="1"/>
      <c r="F14" s="1"/>
    </row>
    <row r="15" spans="2:10" x14ac:dyDescent="0.25">
      <c r="C15" s="1"/>
      <c r="D15" s="1"/>
      <c r="E15" s="1"/>
      <c r="F15" s="1"/>
    </row>
    <row r="21" spans="2:4" ht="18.75" x14ac:dyDescent="0.3">
      <c r="B21" s="4" t="s">
        <v>10</v>
      </c>
    </row>
    <row r="23" spans="2:4" x14ac:dyDescent="0.25">
      <c r="C23" s="1" t="s">
        <v>5</v>
      </c>
      <c r="D23" s="1">
        <f>D12-D13</f>
        <v>7</v>
      </c>
    </row>
    <row r="24" spans="2:4" x14ac:dyDescent="0.25">
      <c r="C24" s="1" t="s">
        <v>6</v>
      </c>
      <c r="D24" s="1">
        <f>SQRT((E12^2)/F12+(E13^2)/F13)</f>
        <v>0.99749686716300023</v>
      </c>
    </row>
    <row r="25" spans="2:4" x14ac:dyDescent="0.25">
      <c r="C25" s="1" t="s">
        <v>7</v>
      </c>
      <c r="D25" s="1">
        <f>D23/D24</f>
        <v>7.0175658996391963</v>
      </c>
    </row>
    <row r="26" spans="2:4" x14ac:dyDescent="0.25">
      <c r="C26" s="1" t="s">
        <v>8</v>
      </c>
      <c r="D26" s="1">
        <f>_xlfn.NORM.S.INV(1 - 0.05/2)</f>
        <v>1.9599639845400536</v>
      </c>
    </row>
    <row r="27" spans="2:4" x14ac:dyDescent="0.25">
      <c r="C27" s="1"/>
      <c r="D27" s="1"/>
    </row>
    <row r="28" spans="2:4" x14ac:dyDescent="0.25">
      <c r="C28" s="1"/>
      <c r="D28" s="1"/>
    </row>
    <row r="29" spans="2:4" x14ac:dyDescent="0.25">
      <c r="C29" s="1" t="s">
        <v>9</v>
      </c>
      <c r="D29" s="3" t="str">
        <f>IF(D25&gt;D26,"*Reject H0*",
" *Boys &amp; Girls ke intelligence me *difference hai*.")</f>
        <v>*Reject H0*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9:H43"/>
  <sheetViews>
    <sheetView showGridLines="0" tabSelected="1" topLeftCell="C2" workbookViewId="0">
      <selection activeCell="H10" sqref="H10"/>
    </sheetView>
  </sheetViews>
  <sheetFormatPr defaultRowHeight="15" x14ac:dyDescent="0.25"/>
  <cols>
    <col min="5" max="5" width="36.42578125" customWidth="1"/>
    <col min="6" max="6" width="52" customWidth="1"/>
    <col min="7" max="7" width="16.28515625" customWidth="1"/>
  </cols>
  <sheetData>
    <row r="9" spans="4:8" x14ac:dyDescent="0.25">
      <c r="D9" s="5" t="s">
        <v>11</v>
      </c>
      <c r="E9" s="1"/>
      <c r="F9" s="1"/>
      <c r="G9" s="1"/>
      <c r="H9" s="1"/>
    </row>
    <row r="10" spans="4:8" x14ac:dyDescent="0.25">
      <c r="E10" s="1" t="s">
        <v>12</v>
      </c>
      <c r="F10" s="2" t="s">
        <v>13</v>
      </c>
      <c r="G10" s="2" t="s">
        <v>14</v>
      </c>
      <c r="H10" s="2" t="s">
        <v>15</v>
      </c>
    </row>
    <row r="11" spans="4:8" x14ac:dyDescent="0.25">
      <c r="E11" s="1" t="s">
        <v>16</v>
      </c>
      <c r="F11" s="1">
        <v>220</v>
      </c>
      <c r="G11" s="1">
        <v>230</v>
      </c>
      <c r="H11" s="1">
        <v>550</v>
      </c>
    </row>
    <row r="12" spans="4:8" x14ac:dyDescent="0.25">
      <c r="E12" s="1" t="s">
        <v>17</v>
      </c>
      <c r="F12" s="1">
        <v>350</v>
      </c>
      <c r="G12" s="1">
        <v>640</v>
      </c>
      <c r="H12" s="1">
        <v>990</v>
      </c>
    </row>
    <row r="13" spans="4:8" x14ac:dyDescent="0.25">
      <c r="E13" s="1" t="s">
        <v>15</v>
      </c>
      <c r="F13" s="1">
        <v>680</v>
      </c>
      <c r="G13" s="1">
        <v>910</v>
      </c>
      <c r="H13" s="1">
        <v>1590</v>
      </c>
    </row>
    <row r="14" spans="4:8" x14ac:dyDescent="0.25">
      <c r="E14" s="1"/>
      <c r="F14" s="1"/>
      <c r="G14" s="1"/>
      <c r="H14" s="1"/>
    </row>
    <row r="21" spans="4:6" x14ac:dyDescent="0.25">
      <c r="D21" s="5" t="s">
        <v>10</v>
      </c>
    </row>
    <row r="22" spans="4:6" x14ac:dyDescent="0.25">
      <c r="E22" s="1"/>
      <c r="F22" s="1"/>
    </row>
    <row r="23" spans="4:6" x14ac:dyDescent="0.25">
      <c r="E23" s="1" t="s">
        <v>18</v>
      </c>
      <c r="F23" s="1">
        <f>H11*F13/H13</f>
        <v>235.22012578616352</v>
      </c>
    </row>
    <row r="24" spans="4:6" x14ac:dyDescent="0.25">
      <c r="E24" s="1" t="s">
        <v>20</v>
      </c>
      <c r="F24" s="1">
        <f>(H11*G13)/H13</f>
        <v>314.77987421383648</v>
      </c>
    </row>
    <row r="25" spans="4:6" x14ac:dyDescent="0.25">
      <c r="E25" s="1" t="s">
        <v>19</v>
      </c>
      <c r="F25" s="1">
        <f>(H12*F13)/H13</f>
        <v>423.39622641509436</v>
      </c>
    </row>
    <row r="26" spans="4:6" x14ac:dyDescent="0.25">
      <c r="E26" s="1" t="s">
        <v>21</v>
      </c>
      <c r="F26" s="1">
        <f>(H12*G13)/H13</f>
        <v>566.60377358490564</v>
      </c>
    </row>
    <row r="27" spans="4:6" x14ac:dyDescent="0.25">
      <c r="E27" s="1"/>
      <c r="F27" s="1"/>
    </row>
    <row r="28" spans="4:6" x14ac:dyDescent="0.25">
      <c r="E28" s="1" t="s">
        <v>22</v>
      </c>
      <c r="F28" s="1">
        <f>(F11-F23)^2/F23</f>
        <v>0.98483166851646309</v>
      </c>
    </row>
    <row r="29" spans="4:6" x14ac:dyDescent="0.25">
      <c r="E29" s="1" t="s">
        <v>23</v>
      </c>
      <c r="F29" s="1">
        <f>(F12-F25)^2/F25</f>
        <v>12.723320889247644</v>
      </c>
    </row>
    <row r="30" spans="4:6" x14ac:dyDescent="0.25">
      <c r="E30" s="1" t="s">
        <v>20</v>
      </c>
      <c r="F30" s="1">
        <f>(G11-F24)^2/F24</f>
        <v>22.833820267782531</v>
      </c>
    </row>
    <row r="31" spans="4:6" x14ac:dyDescent="0.25">
      <c r="E31" s="1" t="s">
        <v>21</v>
      </c>
      <c r="F31" s="1">
        <f>(G12-F26)^2/F26</f>
        <v>9.5075364886685705</v>
      </c>
    </row>
    <row r="32" spans="4:6" x14ac:dyDescent="0.25">
      <c r="E32" s="3" t="s">
        <v>24</v>
      </c>
      <c r="F32" s="1">
        <f>SUM(F28:F31)</f>
        <v>46.049509314215207</v>
      </c>
    </row>
    <row r="33" spans="5:6" x14ac:dyDescent="0.25">
      <c r="E33" s="3"/>
      <c r="F33" s="1"/>
    </row>
    <row r="34" spans="5:6" x14ac:dyDescent="0.25">
      <c r="E34" s="3"/>
      <c r="F34" s="1"/>
    </row>
    <row r="35" spans="5:6" x14ac:dyDescent="0.25">
      <c r="E35" s="3"/>
      <c r="F35" s="1"/>
    </row>
    <row r="36" spans="5:6" x14ac:dyDescent="0.25">
      <c r="E36" s="1" t="s">
        <v>27</v>
      </c>
      <c r="F36" s="1">
        <f>(2-1)*(2-1)</f>
        <v>1</v>
      </c>
    </row>
    <row r="37" spans="5:6" x14ac:dyDescent="0.25">
      <c r="E37" s="1" t="s">
        <v>26</v>
      </c>
      <c r="F37" s="1">
        <f>_xlfn.CHISQ.TEST(F11:G12,F23:F26)</f>
        <v>1.1530202159547562E-11</v>
      </c>
    </row>
    <row r="38" spans="5:6" x14ac:dyDescent="0.25">
      <c r="E38" s="1"/>
      <c r="F38" s="1"/>
    </row>
    <row r="39" spans="5:6" x14ac:dyDescent="0.25">
      <c r="E39" s="1"/>
      <c r="F39" s="1"/>
    </row>
    <row r="40" spans="5:6" x14ac:dyDescent="0.25">
      <c r="E40" s="1"/>
      <c r="F40" s="1"/>
    </row>
    <row r="41" spans="5:6" x14ac:dyDescent="0.25">
      <c r="E41" s="1"/>
      <c r="F41" s="1"/>
    </row>
    <row r="42" spans="5:6" x14ac:dyDescent="0.25">
      <c r="E42" s="1" t="s">
        <v>25</v>
      </c>
      <c r="F42" s="1" t="str">
        <f>IF(F37&lt;0.05,"Smoking aur Cancer ke beech Significant Relationship hai","Smoking aur Cancer ke beech Koi Significant Relationship nahi hai")</f>
        <v>Smoking aur Cancer ke beech Significant Relationship hai</v>
      </c>
    </row>
    <row r="43" spans="5:6" x14ac:dyDescent="0.25">
      <c r="E43" s="1"/>
      <c r="F4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syamu</dc:creator>
  <cp:lastModifiedBy>syamu</cp:lastModifiedBy>
  <dcterms:created xsi:type="dcterms:W3CDTF">2025-11-20T16:48:22Z</dcterms:created>
  <dcterms:modified xsi:type="dcterms:W3CDTF">2025-11-25T12:42:10Z</dcterms:modified>
</cp:coreProperties>
</file>