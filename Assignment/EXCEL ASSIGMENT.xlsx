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bookViews>
    <workbookView xWindow="0" yWindow="0" windowWidth="20490" windowHeight="8535"/>
  </bookViews>
  <sheets>
    <sheet name="1 to 26 questions" sheetId="1" r:id="rId1"/>
    <sheet name="27 no.question" sheetId="2" r:id="rId2"/>
    <sheet name="28.no.question" sheetId="4" r:id="rId3"/>
  </sheets>
  <definedNames>
    <definedName name="AVERAGE_1__4___AVERAGE_1___Question" localSheetId="0" hidden="1">'1 to 26 questions'!$A$3:$D$22</definedName>
    <definedName name="orders_page8" localSheetId="2" hidden="1">'28.no.question'!$A$1:$F$19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J426" i="1" l="1"/>
  <c r="J422" i="1"/>
  <c r="J418" i="1"/>
  <c r="C430" i="1"/>
  <c r="C428" i="1"/>
  <c r="C423" i="1"/>
  <c r="C422" i="1"/>
  <c r="C421" i="1"/>
  <c r="C416" i="1"/>
  <c r="C414" i="1"/>
  <c r="B374" i="1"/>
  <c r="B373" i="1"/>
  <c r="B372" i="1"/>
  <c r="C359" i="1"/>
  <c r="C355" i="1"/>
  <c r="C351" i="1"/>
  <c r="D326" i="1" l="1"/>
  <c r="D325" i="1"/>
  <c r="H233" i="1"/>
  <c r="H229" i="1"/>
  <c r="H226" i="1"/>
  <c r="H223" i="1"/>
  <c r="H220" i="1"/>
  <c r="H217" i="1"/>
  <c r="H232" i="1" s="1"/>
  <c r="C308" i="1" l="1"/>
  <c r="J211" i="1" l="1"/>
  <c r="D204" i="1"/>
  <c r="D205" i="1"/>
  <c r="D206" i="1"/>
  <c r="D203" i="1"/>
  <c r="J191" i="1"/>
  <c r="G189" i="1"/>
  <c r="G190" i="1"/>
  <c r="G188" i="1"/>
  <c r="G187" i="1"/>
  <c r="J162" i="1"/>
  <c r="J161" i="1"/>
  <c r="J163" i="1" s="1"/>
  <c r="E172" i="1"/>
  <c r="E173" i="1"/>
  <c r="E167" i="1"/>
  <c r="E168" i="1"/>
  <c r="E166" i="1"/>
  <c r="E163" i="1"/>
  <c r="E162" i="1"/>
  <c r="E161" i="1"/>
  <c r="E160" i="1"/>
  <c r="L142" i="1" l="1"/>
  <c r="L143" i="1"/>
  <c r="L144" i="1"/>
  <c r="L145" i="1"/>
  <c r="L146" i="1"/>
  <c r="L141" i="1"/>
  <c r="L140" i="1"/>
  <c r="F136" i="1" l="1"/>
  <c r="F137" i="1"/>
  <c r="F138" i="1"/>
  <c r="F139" i="1"/>
  <c r="F140" i="1"/>
  <c r="F141" i="1"/>
  <c r="F142" i="1"/>
  <c r="F135" i="1"/>
  <c r="E136" i="1"/>
  <c r="E137" i="1"/>
  <c r="E138" i="1"/>
  <c r="E139" i="1"/>
  <c r="E140" i="1"/>
  <c r="E141" i="1"/>
  <c r="E142" i="1"/>
  <c r="E135" i="1"/>
  <c r="J124" i="1" l="1"/>
  <c r="J125" i="1"/>
  <c r="J123" i="1"/>
  <c r="J122" i="1"/>
  <c r="D122" i="1"/>
  <c r="D123" i="1"/>
  <c r="D124" i="1"/>
  <c r="D121" i="1"/>
  <c r="C110" i="1"/>
  <c r="C106" i="1"/>
  <c r="C102" i="1"/>
  <c r="B87" i="1"/>
  <c r="B84" i="1"/>
  <c r="B81" i="1"/>
  <c r="B78" i="1"/>
  <c r="C52" i="1" l="1"/>
  <c r="J60" i="1"/>
  <c r="J54" i="1"/>
  <c r="C49" i="1"/>
  <c r="J26" i="1" l="1"/>
  <c r="J22" i="1"/>
  <c r="J21" i="1"/>
  <c r="J20" i="1"/>
  <c r="D22" i="1"/>
  <c r="D20" i="1"/>
  <c r="D18" i="1"/>
  <c r="D16" i="1"/>
</calcChain>
</file>

<file path=xl/connections.xml><?xml version="1.0" encoding="utf-8"?>
<connections xmlns="http://schemas.openxmlformats.org/spreadsheetml/2006/main">
  <connection id="1" sourceFile="C:\Users\syamu\Downloads\AVERAGE 1 (4).xlsx" odcFile="C:\Users\syamu\OneDrive\Documents\My Data Sources\AVERAGE 1 (4) 'AVERAGE 1 - Question$'.odc" keepAlive="1" name="AVERAGE 1 (4) 'AVERAGE 1 - Question$'" type="5" refreshedVersion="5" background="1" saveData="1">
    <dbPr connection="Provider=Microsoft.ACE.OLEDB.12.0;User ID=Admin;Data Source=C:\Users\syamu\Downloads\AVERAGE 1 (4)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AVERAGE 1 - Question$'" commandType="3"/>
  </connection>
  <connection id="2" sourceFile="C:\Users\syamu\Downloads\orders_page8.xlsx" keepAlive="1" name="orders_page8" type="5" refreshedVersion="5" background="1" saveData="1">
    <dbPr connection="Provider=Microsoft.ACE.OLEDB.12.0;User ID=Admin;Data Source=C:\Users\syamu\Downloads\orders_page8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</connections>
</file>

<file path=xl/sharedStrings.xml><?xml version="1.0" encoding="utf-8"?>
<sst xmlns="http://schemas.openxmlformats.org/spreadsheetml/2006/main" count="925" uniqueCount="643">
  <si>
    <t>F1</t>
  </si>
  <si>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</si>
  <si>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</si>
  <si>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</si>
  <si>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</si>
  <si>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</si>
  <si>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</si>
  <si>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</si>
  <si>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</si>
  <si>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</si>
  <si>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</si>
  <si>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</si>
  <si>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</si>
  <si>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</si>
  <si>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</si>
  <si>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</si>
  <si>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</si>
  <si>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1</t>
  </si>
  <si>
    <t>Average Weight of "Light Weight" category</t>
  </si>
  <si>
    <t>2</t>
  </si>
  <si>
    <t>Average Weight of "Medium Weight" category</t>
  </si>
  <si>
    <t>3</t>
  </si>
  <si>
    <t>Average Weight of "Heavey Weight" category</t>
  </si>
  <si>
    <t>4</t>
  </si>
  <si>
    <t xml:space="preserve">Average for all categories 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</si>
  <si>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</si>
  <si>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</si>
  <si>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</si>
  <si>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</si>
  <si>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</si>
  <si>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</si>
  <si>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</si>
  <si>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</si>
  <si>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</si>
  <si>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</si>
  <si>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</si>
  <si>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</si>
  <si>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</si>
  <si>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</si>
  <si>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</si>
  <si>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</si>
  <si>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</si>
  <si>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</si>
  <si>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r>
      <rPr>
        <sz val="16"/>
        <color theme="0"/>
        <rFont val="Calibri"/>
        <family val="2"/>
        <scheme val="minor"/>
      </rPr>
      <t>Q-</t>
    </r>
    <r>
      <rPr>
        <sz val="18"/>
        <color theme="0"/>
        <rFont val="Calibri"/>
        <family val="2"/>
        <scheme val="minor"/>
      </rPr>
      <t>1</t>
    </r>
  </si>
  <si>
    <t>Q-2</t>
  </si>
  <si>
    <t xml:space="preserve">  AVERAGE1</t>
  </si>
  <si>
    <t>AVERAGE 3</t>
  </si>
  <si>
    <t>Q-3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</si>
  <si>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</si>
  <si>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</si>
  <si>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</si>
  <si>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</si>
  <si>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</si>
  <si>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</si>
  <si>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</si>
  <si>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</si>
  <si>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</si>
  <si>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</si>
  <si>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</si>
  <si>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</si>
  <si>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</si>
  <si>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</si>
  <si>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</si>
  <si>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</si>
  <si>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</si>
  <si>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Q-4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</si>
  <si>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</si>
  <si>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</si>
  <si>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</si>
  <si>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</si>
  <si>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</si>
  <si>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</si>
  <si>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</si>
  <si>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</si>
  <si>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</si>
  <si>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</si>
  <si>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</si>
  <si>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</si>
  <si>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</si>
  <si>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</si>
  <si>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</si>
  <si>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</si>
  <si>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</si>
  <si>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</si>
  <si>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</si>
  <si>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</si>
  <si>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</si>
  <si>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</si>
  <si>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</si>
  <si>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</si>
  <si>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>COUNT 1</t>
  </si>
  <si>
    <t>COUNT 2</t>
  </si>
  <si>
    <t>Q-5</t>
  </si>
  <si>
    <t>COUNT 3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</si>
  <si>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</si>
  <si>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</si>
  <si>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</si>
  <si>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</si>
  <si>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</si>
  <si>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</si>
  <si>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</si>
  <si>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</si>
  <si>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</si>
  <si>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</si>
  <si>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Q-6</t>
  </si>
  <si>
    <t>HLOOKUP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</si>
  <si>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</si>
  <si>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</si>
  <si>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</si>
  <si>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</si>
  <si>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</si>
  <si>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</si>
  <si>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</si>
  <si>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</si>
  <si>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</si>
  <si>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</si>
  <si>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</si>
  <si>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</si>
  <si>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</si>
  <si>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</si>
  <si>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</si>
  <si>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</si>
  <si>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</si>
  <si>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</si>
  <si>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</si>
  <si>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</si>
  <si>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</si>
  <si>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</si>
  <si>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</si>
  <si>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</si>
  <si>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</si>
  <si>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>Q-7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</si>
  <si>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</si>
  <si>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</si>
  <si>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</si>
  <si>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</si>
  <si>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</si>
  <si>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</si>
  <si>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</si>
  <si>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</si>
  <si>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</si>
  <si>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Dani</t>
  </si>
  <si>
    <t>Q-8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</si>
  <si>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</si>
  <si>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</si>
  <si>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</si>
  <si>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</si>
  <si>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</si>
  <si>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</si>
  <si>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</si>
  <si>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</si>
  <si>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</si>
  <si>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</si>
  <si>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 xml:space="preserve">         if</t>
  </si>
  <si>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</si>
  <si>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</si>
  <si>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Column D</t>
  </si>
  <si>
    <t>Column E</t>
  </si>
  <si>
    <t>Number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</si>
  <si>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</si>
  <si>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</si>
  <si>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</si>
  <si>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</si>
  <si>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</si>
  <si>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</si>
  <si>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</si>
  <si>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</si>
  <si>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</si>
  <si>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</si>
  <si>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</si>
  <si>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if 3</t>
  </si>
  <si>
    <t>An A+ student gets 100% scholarship and non A+ gets 50% scholarship as shown in the table below: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</si>
  <si>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</si>
  <si>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</si>
  <si>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</si>
  <si>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</si>
  <si>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</si>
  <si>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</si>
  <si>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</si>
  <si>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</si>
  <si>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</si>
  <si>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</si>
  <si>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</si>
  <si>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</si>
  <si>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</si>
  <si>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Q-12</t>
  </si>
  <si>
    <t>Q-10 or 11</t>
  </si>
  <si>
    <t>Q-13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</si>
  <si>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</si>
  <si>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</si>
  <si>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</si>
  <si>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</si>
  <si>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</si>
  <si>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</si>
  <si>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</si>
  <si>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</si>
  <si>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</si>
  <si>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</si>
  <si>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</si>
  <si>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</si>
  <si>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</si>
  <si>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</si>
  <si>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</si>
  <si>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</si>
  <si>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</si>
  <si>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</si>
  <si>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</si>
  <si>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</si>
  <si>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</si>
  <si>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</si>
  <si>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</si>
  <si>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</si>
  <si>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</si>
  <si>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</si>
  <si>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</si>
  <si>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</si>
  <si>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</si>
  <si>
    <t>Q-14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</si>
  <si>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</si>
  <si>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</si>
  <si>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</si>
  <si>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</si>
  <si>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</si>
  <si>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</si>
  <si>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</si>
  <si>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</si>
  <si>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</si>
  <si>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</si>
  <si>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</si>
  <si>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</si>
  <si>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Q-15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</si>
  <si>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</si>
  <si>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</si>
  <si>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</si>
  <si>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</si>
  <si>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</si>
  <si>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</si>
  <si>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</si>
  <si>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</si>
  <si>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</si>
  <si>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</si>
  <si>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</si>
  <si>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max,min 1</t>
  </si>
  <si>
    <t>max,min 2</t>
  </si>
  <si>
    <t>Q-16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</si>
  <si>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</si>
  <si>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</si>
  <si>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</si>
  <si>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</si>
  <si>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</si>
  <si>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</si>
  <si>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Q-17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</si>
  <si>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</si>
  <si>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</si>
  <si>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</si>
  <si>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</si>
  <si>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</si>
  <si>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</si>
  <si>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</si>
  <si>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</si>
  <si>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</si>
  <si>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</si>
  <si>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</si>
  <si>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Q-18</t>
  </si>
  <si>
    <t>The following table includes ABC company's revenue by month.</t>
  </si>
  <si>
    <t>The company's CFO asked you to use SUM formula to calculate the total revenue for the year.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</si>
  <si>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</si>
  <si>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</si>
  <si>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</si>
  <si>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</si>
  <si>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</si>
  <si>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</si>
  <si>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</si>
  <si>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</si>
  <si>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</si>
  <si>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</si>
  <si>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</si>
  <si>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</si>
  <si>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</si>
  <si>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</si>
  <si>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</si>
  <si>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Q-19</t>
  </si>
  <si>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</si>
  <si>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</si>
  <si>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</si>
  <si>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</si>
  <si>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Q-21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</si>
  <si>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</si>
  <si>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</si>
  <si>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</si>
  <si>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</si>
  <si>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</si>
  <si>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</si>
  <si>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</si>
  <si>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</si>
  <si>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</si>
  <si>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</si>
  <si>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</si>
  <si>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</si>
  <si>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</si>
  <si>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</si>
  <si>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</si>
  <si>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</si>
  <si>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</si>
  <si>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</si>
  <si>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</si>
  <si>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</si>
  <si>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</si>
  <si>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</si>
  <si>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</si>
  <si>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</si>
  <si>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</si>
  <si>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</si>
  <si>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</si>
  <si>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</si>
  <si>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</si>
  <si>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</si>
  <si>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</si>
  <si>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</si>
  <si>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</si>
  <si>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</si>
  <si>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</si>
  <si>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</si>
  <si>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</si>
  <si>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</si>
  <si>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</si>
  <si>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</si>
  <si>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</si>
  <si>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</si>
  <si>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</si>
  <si>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</si>
  <si>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</si>
  <si>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</si>
  <si>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</si>
  <si>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</si>
  <si>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</si>
  <si>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</si>
  <si>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</si>
  <si>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</si>
  <si>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</si>
  <si>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</si>
  <si>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</si>
  <si>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</si>
  <si>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</si>
  <si>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</si>
  <si>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</si>
  <si>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</si>
  <si>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</si>
  <si>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</si>
  <si>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</si>
  <si>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</si>
  <si>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</si>
  <si>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</si>
  <si>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</si>
  <si>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</si>
  <si>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</si>
  <si>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</si>
  <si>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</si>
  <si>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</si>
  <si>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</si>
  <si>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</si>
  <si>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</si>
  <si>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</si>
  <si>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</si>
  <si>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</si>
  <si>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</si>
  <si>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</si>
  <si>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</si>
  <si>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</si>
  <si>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</si>
  <si>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</si>
  <si>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</si>
  <si>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</si>
  <si>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</si>
  <si>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</si>
  <si>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</si>
  <si>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</si>
  <si>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</si>
  <si>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</si>
  <si>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</si>
  <si>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</si>
  <si>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</si>
  <si>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</si>
  <si>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</si>
  <si>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</si>
  <si>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</si>
  <si>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</si>
  <si>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</si>
  <si>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</si>
  <si>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</si>
  <si>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</si>
  <si>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</si>
  <si>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</si>
  <si>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</si>
  <si>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</si>
  <si>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</si>
  <si>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</si>
  <si>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</si>
  <si>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</si>
  <si>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</si>
  <si>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</si>
  <si>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</si>
  <si>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</si>
  <si>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</si>
  <si>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</si>
  <si>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</si>
  <si>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</si>
  <si>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</si>
  <si>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</si>
  <si>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</si>
  <si>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</si>
  <si>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</si>
  <si>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</si>
  <si>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</si>
  <si>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</si>
  <si>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</si>
  <si>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</si>
  <si>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</si>
  <si>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</si>
  <si>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</si>
  <si>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</si>
  <si>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</si>
  <si>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</si>
  <si>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</si>
  <si>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</si>
  <si>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</si>
  <si>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</si>
  <si>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</si>
  <si>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</si>
  <si>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</si>
  <si>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</si>
  <si>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</si>
  <si>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</si>
  <si>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</si>
  <si>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</si>
  <si>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</si>
  <si>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</si>
  <si>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</si>
  <si>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</si>
  <si>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</si>
  <si>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</si>
  <si>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</si>
  <si>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</si>
  <si>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</si>
  <si>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</si>
  <si>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</si>
  <si>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</si>
  <si>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</si>
  <si>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</si>
  <si>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</si>
  <si>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</si>
  <si>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</si>
  <si>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</si>
  <si>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</si>
  <si>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</si>
  <si>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</si>
  <si>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</si>
  <si>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</si>
  <si>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</si>
  <si>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Q-22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</si>
  <si>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</si>
  <si>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</si>
  <si>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</si>
  <si>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</si>
  <si>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</si>
  <si>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</si>
  <si>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</si>
  <si>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</si>
  <si>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</si>
  <si>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</si>
  <si>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</si>
  <si>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</si>
  <si>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Q-23</t>
  </si>
  <si>
    <t>Data - SUMIF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</si>
  <si>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</si>
  <si>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</si>
  <si>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</si>
  <si>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</si>
  <si>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</si>
  <si>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</si>
  <si>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</si>
  <si>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</si>
  <si>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</si>
  <si>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</si>
  <si>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</si>
  <si>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</si>
  <si>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</si>
  <si>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</si>
  <si>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</si>
  <si>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</si>
  <si>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</si>
  <si>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</si>
  <si>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</si>
  <si>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</si>
  <si>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</si>
  <si>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</si>
  <si>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</si>
  <si>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</si>
  <si>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</si>
  <si>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</si>
  <si>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</si>
  <si>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</si>
  <si>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What is the total number of medals won by figure skaters?</t>
  </si>
  <si>
    <t>What is the total number of medals won by both USA and Jamaica? (Hard)</t>
  </si>
  <si>
    <t>Q-24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</si>
  <si>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</si>
  <si>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</si>
  <si>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</si>
  <si>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</si>
  <si>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>Q-25</t>
  </si>
  <si>
    <t>Below is a list of the employees who work in your company:</t>
  </si>
  <si>
    <t>Location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</si>
  <si>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</si>
  <si>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</si>
  <si>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</si>
  <si>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</si>
  <si>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</si>
  <si>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</si>
  <si>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</si>
  <si>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</si>
  <si>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</si>
  <si>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</si>
  <si>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</si>
  <si>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</si>
  <si>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</si>
  <si>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</si>
  <si>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</si>
  <si>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</si>
  <si>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</si>
  <si>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</si>
  <si>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</si>
  <si>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</si>
  <si>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</si>
  <si>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</si>
  <si>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</si>
  <si>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</si>
  <si>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</si>
  <si>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Q-26</t>
  </si>
  <si>
    <t>VLOOKUP Exercise - Data: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</si>
  <si>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</si>
  <si>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</si>
  <si>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</si>
  <si>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</si>
  <si>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</si>
  <si>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</si>
  <si>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</si>
  <si>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</si>
  <si>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Accountant</t>
  </si>
  <si>
    <t>Emily Chen</t>
  </si>
  <si>
    <t>Sam Lee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</si>
  <si>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</si>
  <si>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</si>
  <si>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</si>
  <si>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</si>
  <si>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</si>
  <si>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</si>
  <si>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</si>
  <si>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</si>
  <si>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</si>
  <si>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</si>
  <si>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Create a VLOOKUP formula to find the occupation of Jane Doe.</t>
  </si>
  <si>
    <t>Create a VLOOKUP formula to find the age of Mike Lee.</t>
  </si>
  <si>
    <t>Create a VLOOKUP formula to find the occupation of a person whose name starts with "B" (Challenging!)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</si>
  <si>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</si>
  <si>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</si>
  <si>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</si>
  <si>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</si>
  <si>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</si>
  <si>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</si>
  <si>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</si>
  <si>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</si>
  <si>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</si>
  <si>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</si>
  <si>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</si>
  <si>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</si>
  <si>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</si>
  <si>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</si>
  <si>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</si>
  <si>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</si>
  <si>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</si>
  <si>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</si>
  <si>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</si>
  <si>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</si>
  <si>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</si>
  <si>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</si>
  <si>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</si>
  <si>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</si>
  <si>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</si>
  <si>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</si>
  <si>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</si>
  <si>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</si>
  <si>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</si>
  <si>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</si>
  <si>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</si>
  <si>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</si>
  <si>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</si>
  <si>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</si>
  <si>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</si>
  <si>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</si>
  <si>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</si>
  <si>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</si>
  <si>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</si>
  <si>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First name</t>
  </si>
  <si>
    <t>Last Name</t>
  </si>
  <si>
    <t>age</t>
  </si>
  <si>
    <t>sr.no</t>
  </si>
  <si>
    <t>OrderID</t>
  </si>
  <si>
    <t>Product</t>
  </si>
  <si>
    <t>Quantity</t>
  </si>
  <si>
    <t>Price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</si>
  <si>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</si>
  <si>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</si>
  <si>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</si>
  <si>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</si>
  <si>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</si>
  <si>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</si>
  <si>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</si>
  <si>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</si>
  <si>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</si>
  <si>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</si>
  <si>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</si>
  <si>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</si>
  <si>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</si>
  <si>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</si>
  <si>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</si>
  <si>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</si>
  <si>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</si>
  <si>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</si>
  <si>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</si>
  <si>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</si>
  <si>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</si>
  <si>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</si>
  <si>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</si>
  <si>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</si>
  <si>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</si>
  <si>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</si>
  <si>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</si>
  <si>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</si>
  <si>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</si>
  <si>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</si>
  <si>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</si>
  <si>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discount 20%, yes/no</t>
  </si>
  <si>
    <t>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</si>
</sst>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B1mmm\-yy"/>
    <numFmt numFmtId="165" formatCode="_([$$-409]* #,##0.00_);_([$$-409]* \(#,##0.00\);_([$$-409]* &quot;-&quot;??_);_(@_)"/>
    <numFmt numFmtId="166" formatCode="_ * #,##0_ ;_ * \-#,##0_ ;_ * &quot;-&quot;??_ ;_ @_ "/>
    <numFmt numFmtId="167" formatCode="_(* #,##0_);_(* \(#,##0\);_(* &quot;-&quot;??_);_(@_)"/>
    <numFmt numFmtId="168" formatCode="_ * #,##0.00_ ;_ * \-#,##0.00_ ;_ * &quot;-&quot;??_ ;_ @_ "/>
    <numFmt numFmtId="169" formatCode="_-[$$-409]* #,##0.0000_ ;_-[$$-409]* \-#,##0.0000\ ;_-[$$-409]* &quot;-&quot;??_ ;_-@_ "/>
  </numFmts>
  <fonts count="4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E101A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rgb="FF0E101A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  <font>
      <sz val="18"/>
      <color theme="0"/>
      <name val="Calibri"/>
      <family val="2"/>
      <charset val="177"/>
      <scheme val="minor"/>
    </font>
    <font>
      <b/>
      <sz val="10"/>
      <color rgb="FF000000"/>
      <name val="Arial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charset val="177"/>
    </font>
    <font>
      <sz val="11"/>
      <color rgb="FF000000"/>
      <name val="Calibri"/>
      <family val="2"/>
      <charset val="177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rgb="FFFFFF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18" fillId="0" borderId="0"/>
    <xf numFmtId="0" fontId="9" fillId="0" borderId="0"/>
    <xf numFmtId="0" fontId="19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9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164" fontId="2" fillId="0" borderId="1" xfId="0" applyNumberFormat="1" applyFont="1" applyBorder="1"/>
    <xf numFmtId="0" fontId="2" fillId="3" borderId="1" xfId="0" applyFont="1" applyFill="1" applyBorder="1" applyProtection="1">
      <protection locked="0"/>
    </xf>
    <xf numFmtId="0" fontId="1" fillId="4" borderId="0" xfId="0" applyFont="1" applyFill="1"/>
    <xf numFmtId="0" fontId="1" fillId="5" borderId="0" xfId="0" applyFont="1" applyFill="1"/>
    <xf numFmtId="0" fontId="8" fillId="4" borderId="0" xfId="0" applyFont="1" applyFill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4" fillId="4" borderId="0" xfId="0" applyFont="1" applyFill="1"/>
    <xf numFmtId="0" fontId="5" fillId="4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2" xfId="0" applyFont="1" applyBorder="1"/>
    <xf numFmtId="0" fontId="14" fillId="6" borderId="2" xfId="0" applyFont="1" applyFill="1" applyBorder="1"/>
    <xf numFmtId="0" fontId="13" fillId="6" borderId="2" xfId="0" applyFont="1" applyFill="1" applyBorder="1"/>
    <xf numFmtId="0" fontId="13" fillId="3" borderId="3" xfId="0" applyFont="1" applyFill="1" applyBorder="1" applyProtection="1">
      <protection locked="0"/>
    </xf>
    <xf numFmtId="0" fontId="13" fillId="0" borderId="0" xfId="0" applyFont="1" applyAlignment="1">
      <alignment horizontal="center"/>
    </xf>
    <xf numFmtId="0" fontId="15" fillId="0" borderId="0" xfId="0" applyFont="1"/>
    <xf numFmtId="0" fontId="16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43" fontId="17" fillId="7" borderId="2" xfId="0" applyNumberFormat="1" applyFont="1" applyFill="1" applyBorder="1" applyAlignment="1">
      <alignment vertical="center" wrapText="1"/>
    </xf>
    <xf numFmtId="43" fontId="17" fillId="7" borderId="2" xfId="0" applyNumberFormat="1" applyFont="1" applyFill="1" applyBorder="1" applyAlignment="1">
      <alignment horizontal="center" vertical="center" wrapText="1"/>
    </xf>
    <xf numFmtId="1" fontId="17" fillId="7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0" fillId="3" borderId="3" xfId="0" applyFont="1" applyFill="1" applyBorder="1" applyProtection="1">
      <protection locked="0"/>
    </xf>
    <xf numFmtId="0" fontId="10" fillId="0" borderId="0" xfId="0" applyFont="1" applyAlignment="1">
      <alignment horizontal="center"/>
    </xf>
    <xf numFmtId="0" fontId="12" fillId="0" borderId="0" xfId="1" applyFont="1"/>
    <xf numFmtId="0" fontId="13" fillId="0" borderId="0" xfId="1" applyFont="1"/>
    <xf numFmtId="0" fontId="0" fillId="0" borderId="0" xfId="0"/>
    <xf numFmtId="0" fontId="0" fillId="2" borderId="1" xfId="0" applyFill="1" applyBorder="1"/>
    <xf numFmtId="0" fontId="13" fillId="8" borderId="4" xfId="1" applyFont="1" applyFill="1" applyBorder="1"/>
    <xf numFmtId="0" fontId="13" fillId="8" borderId="5" xfId="1" applyFont="1" applyFill="1" applyBorder="1"/>
    <xf numFmtId="0" fontId="13" fillId="8" borderId="6" xfId="1" applyFont="1" applyFill="1" applyBorder="1"/>
    <xf numFmtId="0" fontId="18" fillId="0" borderId="0" xfId="1"/>
    <xf numFmtId="0" fontId="12" fillId="0" borderId="0" xfId="1" applyFont="1"/>
    <xf numFmtId="0" fontId="13" fillId="0" borderId="0" xfId="1" applyFont="1"/>
    <xf numFmtId="0" fontId="13" fillId="3" borderId="0" xfId="1" applyFont="1" applyFill="1" applyProtection="1">
      <protection locked="0"/>
    </xf>
    <xf numFmtId="0" fontId="20" fillId="0" borderId="0" xfId="0" applyFont="1"/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/>
    <xf numFmtId="0" fontId="10" fillId="0" borderId="0" xfId="0" applyFont="1"/>
    <xf numFmtId="0" fontId="20" fillId="0" borderId="0" xfId="0" applyFont="1"/>
    <xf numFmtId="0" fontId="15" fillId="0" borderId="0" xfId="0" applyFont="1"/>
    <xf numFmtId="0" fontId="10" fillId="2" borderId="1" xfId="0" applyFont="1" applyFill="1" applyBorder="1"/>
    <xf numFmtId="0" fontId="2" fillId="0" borderId="0" xfId="1" applyFont="1"/>
    <xf numFmtId="0" fontId="21" fillId="0" borderId="0" xfId="1" applyFont="1"/>
    <xf numFmtId="0" fontId="9" fillId="0" borderId="0" xfId="1" applyFont="1"/>
    <xf numFmtId="0" fontId="3" fillId="0" borderId="2" xfId="1" applyFont="1" applyBorder="1"/>
    <xf numFmtId="0" fontId="2" fillId="0" borderId="2" xfId="1" applyFont="1" applyBorder="1"/>
    <xf numFmtId="0" fontId="2" fillId="3" borderId="2" xfId="1" applyFont="1" applyFill="1" applyBorder="1" applyProtection="1">
      <protection locked="0"/>
    </xf>
    <xf numFmtId="0" fontId="18" fillId="0" borderId="0" xfId="1"/>
    <xf numFmtId="0" fontId="21" fillId="0" borderId="0" xfId="1" applyFont="1"/>
    <xf numFmtId="0" fontId="23" fillId="0" borderId="0" xfId="1" applyFont="1"/>
    <xf numFmtId="0" fontId="18" fillId="0" borderId="0" xfId="1"/>
    <xf numFmtId="0" fontId="2" fillId="0" borderId="0" xfId="1" applyFont="1"/>
    <xf numFmtId="0" fontId="2" fillId="0" borderId="2" xfId="1" applyFont="1" applyBorder="1"/>
    <xf numFmtId="0" fontId="3" fillId="0" borderId="2" xfId="1" applyFont="1" applyBorder="1"/>
    <xf numFmtId="165" fontId="2" fillId="0" borderId="2" xfId="1" applyNumberFormat="1" applyFont="1" applyBorder="1"/>
    <xf numFmtId="0" fontId="2" fillId="3" borderId="2" xfId="1" applyFont="1" applyFill="1" applyBorder="1" applyProtection="1">
      <protection locked="0"/>
    </xf>
    <xf numFmtId="0" fontId="18" fillId="0" borderId="0" xfId="1"/>
    <xf numFmtId="0" fontId="2" fillId="0" borderId="0" xfId="1" applyFont="1"/>
    <xf numFmtId="0" fontId="24" fillId="0" borderId="0" xfId="1" applyFont="1"/>
    <xf numFmtId="0" fontId="2" fillId="0" borderId="0" xfId="1" applyFont="1" applyAlignment="1">
      <alignment horizontal="right"/>
    </xf>
    <xf numFmtId="0" fontId="18" fillId="0" borderId="0" xfId="1"/>
    <xf numFmtId="0" fontId="2" fillId="0" borderId="2" xfId="1" applyFont="1" applyBorder="1"/>
    <xf numFmtId="0" fontId="22" fillId="0" borderId="2" xfId="1" applyFont="1" applyBorder="1"/>
    <xf numFmtId="0" fontId="22" fillId="0" borderId="7" xfId="1" applyFont="1" applyBorder="1"/>
    <xf numFmtId="0" fontId="2" fillId="0" borderId="7" xfId="1" applyFont="1" applyBorder="1"/>
    <xf numFmtId="0" fontId="2" fillId="3" borderId="2" xfId="1" applyFont="1" applyFill="1" applyBorder="1" applyProtection="1">
      <protection locked="0"/>
    </xf>
    <xf numFmtId="0" fontId="9" fillId="0" borderId="2" xfId="0" applyFont="1" applyBorder="1"/>
    <xf numFmtId="9" fontId="9" fillId="0" borderId="2" xfId="0" applyNumberFormat="1" applyFont="1" applyBorder="1"/>
    <xf numFmtId="0" fontId="9" fillId="0" borderId="2" xfId="0" applyFont="1" applyBorder="1" applyAlignment="1">
      <alignment horizontal="right"/>
    </xf>
    <xf numFmtId="0" fontId="25" fillId="0" borderId="2" xfId="0" applyFont="1" applyBorder="1"/>
    <xf numFmtId="166" fontId="9" fillId="0" borderId="2" xfId="4" applyNumberFormat="1" applyFont="1" applyBorder="1"/>
    <xf numFmtId="3" fontId="9" fillId="3" borderId="2" xfId="0" applyNumberFormat="1" applyFont="1" applyFill="1" applyBorder="1" applyProtection="1">
      <protection locked="0"/>
    </xf>
    <xf numFmtId="0" fontId="2" fillId="0" borderId="0" xfId="1" quotePrefix="1" applyFont="1" applyAlignment="1">
      <alignment horizontal="center"/>
    </xf>
    <xf numFmtId="0" fontId="18" fillId="0" borderId="0" xfId="1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1" xfId="1" applyFont="1" applyBorder="1"/>
    <xf numFmtId="0" fontId="18" fillId="0" borderId="1" xfId="1" applyBorder="1"/>
    <xf numFmtId="0" fontId="18" fillId="0" borderId="0" xfId="1"/>
    <xf numFmtId="0" fontId="2" fillId="0" borderId="0" xfId="1" applyFont="1"/>
    <xf numFmtId="0" fontId="22" fillId="0" borderId="0" xfId="1" applyFont="1"/>
    <xf numFmtId="0" fontId="2" fillId="3" borderId="0" xfId="1" applyFont="1" applyFill="1" applyProtection="1">
      <protection locked="0"/>
    </xf>
    <xf numFmtId="0" fontId="18" fillId="0" borderId="0" xfId="1"/>
    <xf numFmtId="0" fontId="2" fillId="0" borderId="0" xfId="1" applyFont="1"/>
    <xf numFmtId="0" fontId="22" fillId="0" borderId="0" xfId="1" applyFont="1"/>
    <xf numFmtId="0" fontId="3" fillId="0" borderId="0" xfId="1" applyFont="1"/>
    <xf numFmtId="9" fontId="2" fillId="0" borderId="0" xfId="1" applyNumberFormat="1" applyFont="1"/>
    <xf numFmtId="9" fontId="2" fillId="3" borderId="0" xfId="1" applyNumberFormat="1" applyFont="1" applyFill="1" applyProtection="1">
      <protection locked="0"/>
    </xf>
    <xf numFmtId="0" fontId="27" fillId="0" borderId="0" xfId="5" applyFont="1"/>
    <xf numFmtId="0" fontId="2" fillId="3" borderId="1" xfId="1" applyFont="1" applyFill="1" applyBorder="1" applyProtection="1">
      <protection locked="0"/>
    </xf>
    <xf numFmtId="0" fontId="18" fillId="0" borderId="0" xfId="1"/>
    <xf numFmtId="0" fontId="2" fillId="0" borderId="0" xfId="1" applyFont="1"/>
    <xf numFmtId="0" fontId="3" fillId="0" borderId="2" xfId="1" applyFont="1" applyBorder="1"/>
    <xf numFmtId="0" fontId="2" fillId="0" borderId="2" xfId="1" applyFont="1" applyBorder="1"/>
    <xf numFmtId="0" fontId="22" fillId="0" borderId="8" xfId="1" applyFont="1" applyBorder="1"/>
    <xf numFmtId="0" fontId="12" fillId="0" borderId="8" xfId="1" applyFont="1" applyBorder="1"/>
    <xf numFmtId="0" fontId="2" fillId="3" borderId="3" xfId="1" applyFont="1" applyFill="1" applyBorder="1" applyProtection="1">
      <protection locked="0"/>
    </xf>
    <xf numFmtId="0" fontId="18" fillId="0" borderId="0" xfId="1"/>
    <xf numFmtId="0" fontId="2" fillId="0" borderId="0" xfId="1" applyFont="1"/>
    <xf numFmtId="0" fontId="18" fillId="0" borderId="0" xfId="1"/>
    <xf numFmtId="0" fontId="28" fillId="4" borderId="0" xfId="1" applyFont="1" applyFill="1"/>
    <xf numFmtId="0" fontId="18" fillId="0" borderId="0" xfId="1"/>
    <xf numFmtId="0" fontId="2" fillId="0" borderId="0" xfId="1" applyFont="1"/>
    <xf numFmtId="0" fontId="21" fillId="0" borderId="0" xfId="1" applyFont="1"/>
    <xf numFmtId="0" fontId="18" fillId="0" borderId="0" xfId="1"/>
    <xf numFmtId="0" fontId="2" fillId="0" borderId="0" xfId="1" applyFont="1"/>
    <xf numFmtId="0" fontId="2" fillId="3" borderId="0" xfId="1" applyFont="1" applyFill="1" applyProtection="1">
      <protection locked="0"/>
    </xf>
    <xf numFmtId="0" fontId="18" fillId="0" borderId="0" xfId="1"/>
    <xf numFmtId="0" fontId="25" fillId="0" borderId="1" xfId="1" applyFont="1" applyBorder="1"/>
    <xf numFmtId="0" fontId="18" fillId="0" borderId="1" xfId="1" applyBorder="1"/>
    <xf numFmtId="0" fontId="18" fillId="2" borderId="1" xfId="1" applyFill="1" applyBorder="1" applyProtection="1">
      <protection locked="0"/>
    </xf>
    <xf numFmtId="0" fontId="18" fillId="0" borderId="0" xfId="1"/>
    <xf numFmtId="0" fontId="2" fillId="0" borderId="0" xfId="1" applyFont="1"/>
    <xf numFmtId="0" fontId="18" fillId="0" borderId="0" xfId="1"/>
    <xf numFmtId="0" fontId="2" fillId="0" borderId="0" xfId="1" applyFont="1"/>
    <xf numFmtId="0" fontId="22" fillId="0" borderId="0" xfId="1" applyFont="1"/>
    <xf numFmtId="167" fontId="2" fillId="0" borderId="0" xfId="1" applyNumberFormat="1" applyFont="1" applyAlignment="1">
      <alignment horizontal="center"/>
    </xf>
    <xf numFmtId="0" fontId="3" fillId="0" borderId="0" xfId="1" applyFont="1"/>
    <xf numFmtId="167" fontId="2" fillId="3" borderId="3" xfId="1" applyNumberFormat="1" applyFont="1" applyFill="1" applyBorder="1" applyProtection="1">
      <protection locked="0"/>
    </xf>
    <xf numFmtId="0" fontId="18" fillId="0" borderId="0" xfId="1"/>
    <xf numFmtId="0" fontId="2" fillId="0" borderId="0" xfId="1" applyFont="1"/>
    <xf numFmtId="14" fontId="3" fillId="9" borderId="2" xfId="1" applyNumberFormat="1" applyFont="1" applyFill="1" applyBorder="1"/>
    <xf numFmtId="44" fontId="3" fillId="9" borderId="2" xfId="1" applyNumberFormat="1" applyFont="1" applyFill="1" applyBorder="1"/>
    <xf numFmtId="14" fontId="2" fillId="0" borderId="2" xfId="1" applyNumberFormat="1" applyFont="1" applyBorder="1"/>
    <xf numFmtId="44" fontId="2" fillId="0" borderId="2" xfId="1" applyNumberFormat="1" applyFont="1" applyBorder="1"/>
    <xf numFmtId="14" fontId="2" fillId="0" borderId="0" xfId="1" applyNumberFormat="1" applyFont="1"/>
    <xf numFmtId="44" fontId="2" fillId="2" borderId="2" xfId="1" applyNumberFormat="1" applyFont="1" applyFill="1" applyBorder="1" applyProtection="1">
      <protection locked="0"/>
    </xf>
    <xf numFmtId="0" fontId="3" fillId="0" borderId="0" xfId="1" applyFont="1"/>
    <xf numFmtId="0" fontId="18" fillId="0" borderId="0" xfId="1"/>
    <xf numFmtId="0" fontId="2" fillId="0" borderId="0" xfId="1" applyFont="1"/>
    <xf numFmtId="0" fontId="22" fillId="0" borderId="0" xfId="1" applyFont="1"/>
    <xf numFmtId="0" fontId="3" fillId="0" borderId="0" xfId="1" applyFont="1"/>
    <xf numFmtId="3" fontId="29" fillId="10" borderId="2" xfId="1" applyNumberFormat="1" applyFont="1" applyFill="1" applyBorder="1" applyAlignment="1">
      <alignment horizontal="center"/>
    </xf>
    <xf numFmtId="3" fontId="21" fillId="0" borderId="0" xfId="1" applyNumberFormat="1" applyFont="1"/>
    <xf numFmtId="3" fontId="29" fillId="0" borderId="0" xfId="1" applyNumberFormat="1" applyFont="1" applyAlignment="1">
      <alignment horizontal="right"/>
    </xf>
    <xf numFmtId="0" fontId="29" fillId="10" borderId="2" xfId="1" applyFont="1" applyFill="1" applyBorder="1" applyAlignment="1">
      <alignment horizontal="center"/>
    </xf>
    <xf numFmtId="0" fontId="31" fillId="10" borderId="2" xfId="1" applyFont="1" applyFill="1" applyBorder="1" applyAlignment="1">
      <alignment horizontal="center"/>
    </xf>
    <xf numFmtId="3" fontId="29" fillId="3" borderId="2" xfId="1" applyNumberFormat="1" applyFont="1" applyFill="1" applyBorder="1" applyAlignment="1">
      <alignment horizontal="center"/>
    </xf>
    <xf numFmtId="3" fontId="3" fillId="3" borderId="2" xfId="1" applyNumberFormat="1" applyFont="1" applyFill="1" applyBorder="1" applyAlignment="1">
      <alignment horizontal="center"/>
    </xf>
    <xf numFmtId="0" fontId="30" fillId="0" borderId="0" xfId="1" applyFont="1"/>
    <xf numFmtId="0" fontId="29" fillId="0" borderId="2" xfId="1" applyFont="1" applyBorder="1" applyAlignment="1">
      <alignment horizontal="center"/>
    </xf>
    <xf numFmtId="44" fontId="2" fillId="2" borderId="2" xfId="1" applyNumberFormat="1" applyFont="1" applyFill="1" applyBorder="1" applyProtection="1">
      <protection locked="0"/>
    </xf>
    <xf numFmtId="3" fontId="2" fillId="3" borderId="2" xfId="1" applyNumberFormat="1" applyFont="1" applyFill="1" applyBorder="1" applyProtection="1">
      <protection locked="0"/>
    </xf>
    <xf numFmtId="3" fontId="2" fillId="3" borderId="1" xfId="1" applyNumberFormat="1" applyFont="1" applyFill="1" applyBorder="1" applyProtection="1">
      <protection locked="0"/>
    </xf>
    <xf numFmtId="3" fontId="2" fillId="2" borderId="1" xfId="1" applyNumberFormat="1" applyFont="1" applyFill="1" applyBorder="1" applyProtection="1">
      <protection locked="0"/>
    </xf>
    <xf numFmtId="0" fontId="29" fillId="0" borderId="12" xfId="1" applyFont="1" applyFill="1" applyBorder="1" applyAlignment="1">
      <alignment horizontal="center"/>
    </xf>
    <xf numFmtId="0" fontId="25" fillId="0" borderId="1" xfId="0" applyFont="1" applyBorder="1"/>
    <xf numFmtId="0" fontId="0" fillId="0" borderId="1" xfId="0" applyBorder="1"/>
    <xf numFmtId="166" fontId="0" fillId="0" borderId="1" xfId="6" applyNumberFormat="1" applyFont="1" applyBorder="1"/>
    <xf numFmtId="0" fontId="0" fillId="0" borderId="0" xfId="0"/>
    <xf numFmtId="0" fontId="0" fillId="0" borderId="0" xfId="0"/>
    <xf numFmtId="0" fontId="25" fillId="0" borderId="0" xfId="0" applyFont="1"/>
    <xf numFmtId="0" fontId="0" fillId="2" borderId="11" xfId="0" applyFill="1" applyBorder="1" applyProtection="1">
      <protection locked="0"/>
    </xf>
    <xf numFmtId="0" fontId="0" fillId="0" borderId="0" xfId="0"/>
    <xf numFmtId="0" fontId="34" fillId="0" borderId="0" xfId="0" applyFont="1"/>
    <xf numFmtId="0" fontId="34" fillId="0" borderId="1" xfId="0" applyFont="1" applyBorder="1"/>
    <xf numFmtId="0" fontId="33" fillId="0" borderId="1" xfId="0" applyFont="1" applyBorder="1"/>
    <xf numFmtId="0" fontId="0" fillId="0" borderId="0" xfId="0"/>
    <xf numFmtId="0" fontId="0" fillId="0" borderId="0" xfId="0"/>
    <xf numFmtId="0" fontId="33" fillId="0" borderId="0" xfId="0" applyFont="1"/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/>
    <xf numFmtId="0" fontId="38" fillId="0" borderId="0" xfId="0" applyFont="1"/>
    <xf numFmtId="0" fontId="39" fillId="2" borderId="1" xfId="0" applyFont="1" applyFill="1" applyBorder="1"/>
    <xf numFmtId="0" fontId="19" fillId="0" borderId="0" xfId="7" quotePrefix="1"/>
    <xf numFmtId="0" fontId="0" fillId="0" borderId="0" xfId="0"/>
    <xf numFmtId="0" fontId="33" fillId="0" borderId="0" xfId="0" applyFont="1"/>
    <xf numFmtId="0" fontId="36" fillId="0" borderId="0" xfId="0" applyFont="1" applyAlignment="1">
      <alignment vertical="center"/>
    </xf>
    <xf numFmtId="0" fontId="37" fillId="0" borderId="0" xfId="0" applyFont="1"/>
    <xf numFmtId="0" fontId="38" fillId="0" borderId="0" xfId="0" applyFont="1"/>
    <xf numFmtId="0" fontId="39" fillId="2" borderId="1" xfId="0" applyFont="1" applyFill="1" applyBorder="1"/>
    <xf numFmtId="0" fontId="0" fillId="0" borderId="0" xfId="0"/>
    <xf numFmtId="0" fontId="33" fillId="0" borderId="0" xfId="0" applyFont="1"/>
    <xf numFmtId="0" fontId="36" fillId="0" borderId="0" xfId="0" applyFont="1" applyAlignment="1">
      <alignment vertical="center"/>
    </xf>
    <xf numFmtId="0" fontId="37" fillId="0" borderId="0" xfId="0" applyFont="1"/>
    <xf numFmtId="0" fontId="38" fillId="0" borderId="0" xfId="0" applyFont="1"/>
    <xf numFmtId="0" fontId="39" fillId="2" borderId="1" xfId="0" applyFont="1" applyFill="1" applyBorder="1"/>
    <xf numFmtId="14" fontId="0" fillId="0" borderId="0" xfId="0" applyNumberFormat="1"/>
    <xf numFmtId="0" fontId="0" fillId="2" borderId="0" xfId="0" applyFill="1" applyProtection="1">
      <protection locked="0"/>
    </xf>
    <xf numFmtId="0" fontId="40" fillId="0" borderId="0" xfId="0" applyFont="1" applyAlignment="1">
      <alignment wrapText="1"/>
    </xf>
    <xf numFmtId="14" fontId="41" fillId="0" borderId="0" xfId="0" applyNumberFormat="1" applyFont="1" applyAlignment="1">
      <alignment wrapText="1"/>
    </xf>
    <xf numFmtId="169" fontId="41" fillId="0" borderId="0" xfId="0" applyNumberFormat="1" applyFont="1" applyAlignment="1">
      <alignment horizontal="left" wrapText="1"/>
    </xf>
    <xf numFmtId="0" fontId="42" fillId="12" borderId="2" xfId="0" applyFont="1" applyFill="1" applyBorder="1"/>
    <xf numFmtId="0" fontId="42" fillId="12" borderId="10" xfId="0" applyFont="1" applyFill="1" applyBorder="1"/>
    <xf numFmtId="0" fontId="43" fillId="0" borderId="13" xfId="0" applyFont="1" applyBorder="1" applyAlignment="1">
      <alignment horizontal="left"/>
    </xf>
    <xf numFmtId="0" fontId="43" fillId="0" borderId="14" xfId="0" applyFont="1" applyBorder="1"/>
    <xf numFmtId="0" fontId="43" fillId="0" borderId="14" xfId="0" applyFont="1" applyBorder="1" applyAlignment="1">
      <alignment horizontal="right"/>
    </xf>
    <xf numFmtId="0" fontId="42" fillId="0" borderId="0" xfId="0" applyFont="1" applyAlignment="1">
      <alignment horizontal="right"/>
    </xf>
    <xf numFmtId="0" fontId="43" fillId="0" borderId="0" xfId="0" applyFont="1"/>
    <xf numFmtId="0" fontId="43" fillId="3" borderId="0" xfId="0" applyFont="1" applyFill="1" applyProtection="1">
      <protection locked="0"/>
    </xf>
    <xf numFmtId="0" fontId="42" fillId="0" borderId="0" xfId="0" applyFont="1"/>
    <xf numFmtId="0" fontId="42" fillId="0" borderId="2" xfId="0" applyFont="1" applyBorder="1"/>
    <xf numFmtId="0" fontId="42" fillId="0" borderId="10" xfId="0" applyFont="1" applyBorder="1"/>
    <xf numFmtId="0" fontId="43" fillId="3" borderId="14" xfId="0" applyFont="1" applyFill="1" applyBorder="1" applyProtection="1">
      <protection locked="0"/>
    </xf>
    <xf numFmtId="0" fontId="43" fillId="0" borderId="13" xfId="0" applyFont="1" applyBorder="1"/>
    <xf numFmtId="0" fontId="43" fillId="13" borderId="0" xfId="0" applyFont="1" applyFill="1" applyProtection="1">
      <protection locked="0"/>
    </xf>
    <xf numFmtId="0" fontId="39" fillId="0" borderId="0" xfId="0" applyFont="1"/>
    <xf numFmtId="0" fontId="38" fillId="0" borderId="1" xfId="0" applyFont="1" applyBorder="1"/>
    <xf numFmtId="0" fontId="39" fillId="0" borderId="1" xfId="0" applyFont="1" applyBorder="1"/>
    <xf numFmtId="0" fontId="37" fillId="0" borderId="0" xfId="0" applyFont="1" applyAlignment="1">
      <alignment vertical="center"/>
    </xf>
    <xf numFmtId="0" fontId="32" fillId="11" borderId="7" xfId="1" applyFont="1" applyFill="1" applyBorder="1" applyAlignment="1">
      <alignment horizontal="center"/>
    </xf>
    <xf numFmtId="0" fontId="32" fillId="11" borderId="9" xfId="1" applyFont="1" applyFill="1" applyBorder="1" applyAlignment="1">
      <alignment horizontal="center"/>
    </xf>
    <xf numFmtId="0" fontId="32" fillId="11" borderId="10" xfId="1" applyFont="1" applyFill="1" applyBorder="1" applyAlignment="1">
      <alignment horizontal="center"/>
    </xf>
    <xf numFmtId="0" fontId="42" fillId="0" borderId="0" xfId="0" applyFont="1" applyAlignment="1"/>
    <xf numFmtId="0" fontId="0" fillId="0" borderId="0" xfId="0" applyAlignment="1"/>
    <xf numFmtId="0" fontId="43" fillId="0" borderId="0" xfId="0" applyFont="1" applyAlignment="1"/>
  </cellXfs>
  <cellStyles count="8">
    <cellStyle name="Comma" xfId="4" builtinId="3"/>
    <cellStyle name="Comma 2" xfId="6"/>
    <cellStyle name="Hyperlink" xfId="7" builtinId="8"/>
    <cellStyle name="Hyperlink 2" xfId="3"/>
    <cellStyle name="Hyperlink 3" xfId="5"/>
    <cellStyle name="Normal" xfId="0" builtinId="0"/>
    <cellStyle name="Normal 2" xfId="2"/>
    <cellStyle name="Normal 3" xfId="1"/>
  </cellStyles>
  <dxfs count="9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VERAGE 1 (4) 'AVERAGE 1 - Question$'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F1" tableColumnId="1"/>
      <queryTableField id="2" name="Category" tableColumnId="2"/>
      <queryTableField id="3" name="Name" tableColumnId="3"/>
      <queryTableField id="4" name="Weight" tableColumnId="4"/>
    </queryTableFields>
  </queryTableRefresh>
</queryTable>
</file>

<file path=xl/queryTables/queryTable2.xml><?xml version="1.0" encoding="utf-8"?>
<queryTable xmlns="http://schemas.openxmlformats.org/spreadsheetml/2006/main" name="orders_page8" connectionId="2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OrderID" tableColumnId="1"/>
      <queryTableField id="2" name="Name" tableColumnId="2"/>
      <queryTableField id="3" name="Product" tableColumnId="3"/>
      <queryTableField id="4" name="Quantity" tableColumnId="4"/>
      <queryTableField id="5" name="Price" tableColumnId="5"/>
      <queryTableField id="6" name="Total" tableColumnId="6"/>
      <queryTableField id="8" dataBound="0" tableColumnId="8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_AVERAGE_1__4___AVERAGE_1___Question" displayName="Table_AVERAGE_1__4___AVERAGE_1___Question" ref="A3:D22" tableType="queryTable" totalsRowShown="0" headerRowDxfId="8">
  <autoFilter ref="A3:D22"/>
  <tableColumns count="4">
    <tableColumn id="1" uniqueName="1" name="F1" queryTableFieldId="1" dataDxfId="7"/>
    <tableColumn id="2" uniqueName="2" name="Category" queryTableFieldId="2" dataDxfId="6"/>
    <tableColumn id="3" uniqueName="3" name="Name" queryTableFieldId="3" dataDxfId="5"/>
    <tableColumn id="4" uniqueName="4" name="Weight" queryTableFieldId="4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E21" totalsRowShown="0">
  <autoFilter ref="A1:E21"/>
  <tableColumns count="5">
    <tableColumn id="1" name="sr.no"/>
    <tableColumn id="2" name="First name"/>
    <tableColumn id="3" name="Last Name"/>
    <tableColumn id="4" name="Salary"/>
    <tableColumn id="5" name="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9" name="Table_orders_page8" displayName="Table_orders_page8" ref="A1:H19" tableType="queryTable" totalsRowShown="0">
  <autoFilter ref="A1:H19"/>
  <tableColumns count="8">
    <tableColumn id="1" uniqueName="1" name="OrderID" queryTableFieldId="1"/>
    <tableColumn id="2" uniqueName="2" name="Name" queryTableFieldId="2"/>
    <tableColumn id="3" uniqueName="3" name="Product" queryTableFieldId="3"/>
    <tableColumn id="4" uniqueName="4" name="Quantity" queryTableFieldId="4"/>
    <tableColumn id="5" uniqueName="5" name="Price" queryTableFieldId="5"/>
    <tableColumn id="6" uniqueName="6" name="Total" queryTableFieldId="6"/>
    <tableColumn id="8" uniqueName="8" name="discount 20%, yes/no" queryTableFieldId="8" dataDxfId="1">
      <calculatedColumnFormula>IF(Table_orders_page8[[#This Row],[Quantity]]&gt;20,"20% Yes","No")</calculatedColumnFormula>
    </tableColumn>
    <tableColumn id="7" uniqueName="7" name="final Amount" queryTableFieldId="7" dataDxfId="0">
      <calculatedColumnFormula>IF(D2&gt;20,F2-F2*0.2,Table_orders_page8[[#This Row],[Total]])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1"/>
  <sheetViews>
    <sheetView tabSelected="1" topLeftCell="A91" zoomScale="60" workbookViewId="0">
      <selection activeCell="E138" sqref="E138"/>
    </sheetView>
  </sheetViews>
  <sheetFormatPr defaultRowHeight="15"/>
  <cols>
    <col min="1" max="1" width="16.7109375" customWidth="1"/>
    <col min="2" max="2" width="48.7109375" customWidth="1"/>
    <col min="3" max="3" width="24.5703125" customWidth="1"/>
    <col min="4" max="4" width="22.5703125" customWidth="1"/>
    <col min="5" max="5" width="16.28515625" customWidth="1"/>
    <col min="6" max="6" width="16.85546875" customWidth="1"/>
    <col min="7" max="7" width="39.28515625" customWidth="1"/>
    <col min="8" max="8" width="14.85546875" customWidth="1"/>
    <col min="9" max="9" width="66.85546875" customWidth="1"/>
    <col min="10" max="10" width="25.140625" customWidth="1"/>
    <col min="11" max="11" width="27.85546875" customWidth="1"/>
    <col min="12" max="12" width="14.85546875" customWidth="1"/>
  </cols>
  <sheetData>
    <row r="1" spans="1:11" ht="32.25" customHeight="1">
      <c r="A1" s="6" t="s">
        <v>43</v>
      </c>
      <c r="B1" s="9" t="s">
        <v>45</v>
      </c>
      <c r="H1" s="8" t="s">
        <v>44</v>
      </c>
      <c r="I1" s="10" t="s">
        <v>46</v>
      </c>
    </row>
    <row r="2" spans="1:11" ht="15" customHeight="1">
      <c r="A2" s="7"/>
    </row>
    <row r="3" spans="1:11">
      <c r="A3" s="2" t="s">
        <v>0</v>
      </c>
      <c r="B3" s="2" t="s">
        <v>1</v>
      </c>
      <c r="C3" s="2" t="s">
        <v>2</v>
      </c>
      <c r="D3" s="2" t="s">
        <v>3</v>
      </c>
      <c r="I3" s="1" t="s">
        <v>25</v>
      </c>
      <c r="J3" s="2"/>
      <c r="K3" s="2"/>
    </row>
    <row r="4" spans="1:11">
      <c r="A4" s="2"/>
      <c r="B4" s="2" t="s">
        <v>4</v>
      </c>
      <c r="C4" s="2" t="s">
        <v>5</v>
      </c>
      <c r="D4" s="2">
        <v>43</v>
      </c>
      <c r="I4" s="1" t="s">
        <v>26</v>
      </c>
      <c r="J4" s="2"/>
      <c r="K4" s="2"/>
    </row>
    <row r="5" spans="1:11">
      <c r="A5" s="2"/>
      <c r="B5" s="2" t="s">
        <v>4</v>
      </c>
      <c r="C5" s="2" t="s">
        <v>6</v>
      </c>
      <c r="D5" s="2">
        <v>59</v>
      </c>
      <c r="I5" s="2"/>
      <c r="J5" s="2"/>
      <c r="K5" s="2"/>
    </row>
    <row r="6" spans="1:11">
      <c r="A6" s="2"/>
      <c r="B6" s="2" t="s">
        <v>4</v>
      </c>
      <c r="C6" s="2" t="s">
        <v>7</v>
      </c>
      <c r="D6" s="2">
        <v>72</v>
      </c>
      <c r="I6" s="3" t="s">
        <v>27</v>
      </c>
      <c r="J6" s="3" t="s">
        <v>28</v>
      </c>
      <c r="K6" s="3" t="s">
        <v>29</v>
      </c>
    </row>
    <row r="7" spans="1:11">
      <c r="A7" s="2"/>
      <c r="B7" s="2" t="s">
        <v>8</v>
      </c>
      <c r="C7" s="2" t="s">
        <v>9</v>
      </c>
      <c r="D7" s="2">
        <v>119</v>
      </c>
      <c r="I7" s="1" t="s">
        <v>30</v>
      </c>
      <c r="J7" s="4">
        <v>43101</v>
      </c>
      <c r="K7" s="1">
        <v>152</v>
      </c>
    </row>
    <row r="8" spans="1:11">
      <c r="A8" s="2"/>
      <c r="B8" s="2" t="s">
        <v>8</v>
      </c>
      <c r="C8" s="2" t="s">
        <v>10</v>
      </c>
      <c r="D8" s="2">
        <v>175</v>
      </c>
      <c r="I8" s="1" t="s">
        <v>31</v>
      </c>
      <c r="J8" s="4">
        <v>43101</v>
      </c>
      <c r="K8" s="1">
        <v>171</v>
      </c>
    </row>
    <row r="9" spans="1:11">
      <c r="A9" s="2"/>
      <c r="B9" s="2" t="s">
        <v>8</v>
      </c>
      <c r="C9" s="2" t="s">
        <v>11</v>
      </c>
      <c r="D9" s="2">
        <v>192</v>
      </c>
      <c r="I9" s="1" t="s">
        <v>32</v>
      </c>
      <c r="J9" s="4">
        <v>43101</v>
      </c>
      <c r="K9" s="1">
        <v>110</v>
      </c>
    </row>
    <row r="10" spans="1:11">
      <c r="A10" s="2"/>
      <c r="B10" s="2" t="s">
        <v>12</v>
      </c>
      <c r="C10" s="2" t="s">
        <v>13</v>
      </c>
      <c r="D10" s="2">
        <v>240</v>
      </c>
      <c r="I10" s="1" t="s">
        <v>33</v>
      </c>
      <c r="J10" s="4">
        <v>43132</v>
      </c>
      <c r="K10" s="1">
        <v>173</v>
      </c>
    </row>
    <row r="11" spans="1:11">
      <c r="A11" s="2"/>
      <c r="B11" s="2" t="s">
        <v>12</v>
      </c>
      <c r="C11" s="2" t="s">
        <v>14</v>
      </c>
      <c r="D11" s="2">
        <v>405</v>
      </c>
      <c r="I11" s="1" t="s">
        <v>34</v>
      </c>
      <c r="J11" s="4">
        <v>43132</v>
      </c>
      <c r="K11" s="1">
        <v>128</v>
      </c>
    </row>
    <row r="12" spans="1:11">
      <c r="A12" s="2"/>
      <c r="B12" s="2" t="s">
        <v>12</v>
      </c>
      <c r="C12" s="2" t="s">
        <v>15</v>
      </c>
      <c r="D12" s="2">
        <v>522</v>
      </c>
      <c r="I12" s="1" t="s">
        <v>35</v>
      </c>
      <c r="J12" s="4">
        <v>43132</v>
      </c>
      <c r="K12" s="1">
        <v>107</v>
      </c>
    </row>
    <row r="13" spans="1:11">
      <c r="A13" s="2"/>
      <c r="B13" s="2"/>
      <c r="C13" s="2"/>
      <c r="D13" s="2"/>
      <c r="I13" s="1" t="s">
        <v>36</v>
      </c>
      <c r="J13" s="4">
        <v>43160</v>
      </c>
      <c r="K13" s="1">
        <v>213</v>
      </c>
    </row>
    <row r="14" spans="1:11">
      <c r="A14" s="2"/>
      <c r="B14" s="2" t="s">
        <v>16</v>
      </c>
      <c r="C14" s="2"/>
      <c r="D14" s="2"/>
      <c r="I14" s="1" t="s">
        <v>37</v>
      </c>
      <c r="J14" s="4">
        <v>43160</v>
      </c>
      <c r="K14" s="1">
        <v>238</v>
      </c>
    </row>
    <row r="15" spans="1:11">
      <c r="A15" s="2"/>
      <c r="B15" s="2"/>
      <c r="C15" s="2"/>
      <c r="D15" s="2"/>
      <c r="I15" s="1" t="s">
        <v>38</v>
      </c>
      <c r="J15" s="4">
        <v>43160</v>
      </c>
      <c r="K15" s="1">
        <v>131</v>
      </c>
    </row>
    <row r="16" spans="1:11">
      <c r="A16" s="2" t="s">
        <v>17</v>
      </c>
      <c r="B16" s="2" t="s">
        <v>18</v>
      </c>
      <c r="C16" s="2"/>
      <c r="D16" s="34">
        <f>AVERAGE(D4:D6)</f>
        <v>58</v>
      </c>
      <c r="I16" s="2"/>
      <c r="J16" s="2"/>
      <c r="K16" s="2"/>
    </row>
    <row r="17" spans="1:11">
      <c r="A17" s="2"/>
      <c r="B17" s="2"/>
      <c r="C17" s="2"/>
      <c r="D17" s="2"/>
      <c r="I17" s="2"/>
      <c r="J17" s="2"/>
      <c r="K17" s="2"/>
    </row>
    <row r="18" spans="1:11">
      <c r="A18" s="2" t="s">
        <v>19</v>
      </c>
      <c r="B18" s="2" t="s">
        <v>20</v>
      </c>
      <c r="C18" s="2"/>
      <c r="D18" s="34">
        <f>AVERAGE(D7:D9)</f>
        <v>162</v>
      </c>
      <c r="I18" s="1" t="s">
        <v>39</v>
      </c>
      <c r="J18" s="2"/>
      <c r="K18" s="2"/>
    </row>
    <row r="19" spans="1:11">
      <c r="A19" s="2"/>
      <c r="B19" s="2"/>
      <c r="C19" s="2"/>
      <c r="D19" s="2"/>
      <c r="I19" s="2"/>
      <c r="J19" s="2"/>
      <c r="K19" s="2"/>
    </row>
    <row r="20" spans="1:11">
      <c r="A20" s="2" t="s">
        <v>21</v>
      </c>
      <c r="B20" s="2" t="s">
        <v>22</v>
      </c>
      <c r="C20" s="2"/>
      <c r="D20" s="34">
        <f>AVERAGE(D10:D12)</f>
        <v>389</v>
      </c>
      <c r="I20" s="4">
        <v>43101</v>
      </c>
      <c r="J20" s="5">
        <f>AVERAGE(K7:K9)</f>
        <v>144.33333333333334</v>
      </c>
      <c r="K20" s="2"/>
    </row>
    <row r="21" spans="1:11">
      <c r="A21" s="2"/>
      <c r="B21" s="2"/>
      <c r="C21" s="2"/>
      <c r="D21" s="2"/>
      <c r="I21" s="4">
        <v>43132</v>
      </c>
      <c r="J21" s="5">
        <f>AVERAGE(K10:K12)</f>
        <v>136</v>
      </c>
      <c r="K21" s="2"/>
    </row>
    <row r="22" spans="1:11">
      <c r="A22" s="2" t="s">
        <v>23</v>
      </c>
      <c r="B22" s="2" t="s">
        <v>24</v>
      </c>
      <c r="C22" s="2"/>
      <c r="D22" s="34">
        <f>AVERAGE(D4:D12)</f>
        <v>203</v>
      </c>
      <c r="I22" s="4">
        <v>43160</v>
      </c>
      <c r="J22" s="5">
        <f>AVERAGE(K13:K15)</f>
        <v>194</v>
      </c>
      <c r="K22" s="2"/>
    </row>
    <row r="23" spans="1:11">
      <c r="A23" s="2"/>
      <c r="B23" s="2"/>
      <c r="C23" s="2"/>
      <c r="D23" s="2"/>
      <c r="I23" s="2"/>
      <c r="J23" s="2"/>
      <c r="K23" s="2"/>
    </row>
    <row r="24" spans="1:11">
      <c r="I24" s="1" t="s">
        <v>40</v>
      </c>
      <c r="J24" s="2"/>
      <c r="K24" s="2"/>
    </row>
    <row r="25" spans="1:11">
      <c r="I25" s="2"/>
      <c r="J25" s="2"/>
      <c r="K25" s="2"/>
    </row>
    <row r="26" spans="1:11">
      <c r="I26" s="1" t="s">
        <v>41</v>
      </c>
      <c r="J26" s="5">
        <f>SUM(AVERAGE(K7:K15))</f>
        <v>158.11111111111111</v>
      </c>
      <c r="K26" s="1"/>
    </row>
    <row r="27" spans="1:11">
      <c r="I27" s="1" t="s">
        <v>42</v>
      </c>
      <c r="J27" s="5"/>
      <c r="K27" s="1"/>
    </row>
    <row r="28" spans="1:11">
      <c r="I28" s="2"/>
      <c r="J28" s="2"/>
      <c r="K28" s="2"/>
    </row>
    <row r="33" spans="1:14" ht="23.25">
      <c r="A33" s="13" t="s">
        <v>47</v>
      </c>
      <c r="B33" t="s">
        <v>90</v>
      </c>
      <c r="H33" s="13" t="s">
        <v>65</v>
      </c>
      <c r="I33" t="s">
        <v>91</v>
      </c>
    </row>
    <row r="34" spans="1:14">
      <c r="B34" s="14" t="s">
        <v>48</v>
      </c>
      <c r="C34" s="15"/>
      <c r="D34" s="15"/>
      <c r="E34" s="15"/>
      <c r="F34" s="15"/>
      <c r="G34" s="15"/>
      <c r="H34" s="15"/>
      <c r="I34" s="22" t="s">
        <v>66</v>
      </c>
      <c r="J34" s="11"/>
      <c r="K34" s="11"/>
      <c r="L34" s="11"/>
      <c r="M34" s="11"/>
      <c r="N34" s="11"/>
    </row>
    <row r="35" spans="1:14">
      <c r="B35" s="16" t="s">
        <v>49</v>
      </c>
      <c r="C35" s="15"/>
      <c r="D35" s="15"/>
      <c r="E35" s="15"/>
      <c r="F35" s="15"/>
      <c r="G35" s="15"/>
      <c r="H35" s="15"/>
      <c r="I35" s="22" t="s">
        <v>67</v>
      </c>
      <c r="J35" s="11"/>
      <c r="K35" s="11"/>
      <c r="L35" s="11"/>
      <c r="M35" s="11"/>
      <c r="N35" s="11"/>
    </row>
    <row r="36" spans="1:14">
      <c r="I36" s="23" t="s">
        <v>68</v>
      </c>
      <c r="J36" s="23" t="s">
        <v>69</v>
      </c>
      <c r="K36" s="23" t="s">
        <v>70</v>
      </c>
    </row>
    <row r="37" spans="1:14">
      <c r="B37" s="17" t="s">
        <v>50</v>
      </c>
      <c r="C37" s="18" t="s">
        <v>51</v>
      </c>
      <c r="I37" s="24">
        <v>101</v>
      </c>
      <c r="J37" s="24" t="s">
        <v>71</v>
      </c>
      <c r="K37" s="25">
        <v>78022</v>
      </c>
    </row>
    <row r="38" spans="1:14">
      <c r="B38" s="17" t="s">
        <v>52</v>
      </c>
      <c r="C38" s="19">
        <v>7</v>
      </c>
      <c r="I38" s="24">
        <v>102</v>
      </c>
      <c r="J38" s="24" t="s">
        <v>72</v>
      </c>
      <c r="K38" s="25">
        <v>99819</v>
      </c>
    </row>
    <row r="39" spans="1:14">
      <c r="B39" s="17" t="s">
        <v>53</v>
      </c>
      <c r="C39" s="19">
        <v>5</v>
      </c>
      <c r="I39" s="24">
        <v>103</v>
      </c>
      <c r="J39" s="24" t="s">
        <v>73</v>
      </c>
      <c r="K39" s="26" t="s">
        <v>74</v>
      </c>
    </row>
    <row r="40" spans="1:14">
      <c r="B40" s="17" t="s">
        <v>54</v>
      </c>
      <c r="C40" s="19">
        <v>6</v>
      </c>
      <c r="I40" s="24">
        <v>104</v>
      </c>
      <c r="J40" s="24" t="s">
        <v>75</v>
      </c>
      <c r="K40" s="25">
        <v>27522</v>
      </c>
    </row>
    <row r="41" spans="1:14">
      <c r="B41" s="17" t="s">
        <v>55</v>
      </c>
      <c r="C41" s="19">
        <v>4</v>
      </c>
      <c r="I41" s="24">
        <v>105</v>
      </c>
      <c r="J41" s="24" t="s">
        <v>76</v>
      </c>
      <c r="K41" s="27">
        <v>0</v>
      </c>
    </row>
    <row r="42" spans="1:14">
      <c r="B42" s="17" t="s">
        <v>56</v>
      </c>
      <c r="C42" s="19" t="s">
        <v>57</v>
      </c>
      <c r="I42" s="24">
        <v>106</v>
      </c>
      <c r="J42" s="24" t="s">
        <v>77</v>
      </c>
      <c r="K42" s="27"/>
    </row>
    <row r="43" spans="1:14">
      <c r="B43" s="17" t="s">
        <v>58</v>
      </c>
      <c r="C43" s="19" t="s">
        <v>59</v>
      </c>
      <c r="I43" s="24">
        <v>107</v>
      </c>
      <c r="J43" s="24" t="s">
        <v>78</v>
      </c>
      <c r="K43" s="27">
        <v>0</v>
      </c>
    </row>
    <row r="44" spans="1:14">
      <c r="B44" s="17" t="s">
        <v>60</v>
      </c>
      <c r="C44" s="19" t="s">
        <v>60</v>
      </c>
      <c r="I44" s="24">
        <v>108</v>
      </c>
      <c r="J44" s="24" t="s">
        <v>79</v>
      </c>
      <c r="K44" s="25">
        <v>88041</v>
      </c>
    </row>
    <row r="45" spans="1:14">
      <c r="I45" s="24">
        <v>109</v>
      </c>
      <c r="J45" s="24" t="s">
        <v>80</v>
      </c>
      <c r="K45" s="25">
        <v>81831</v>
      </c>
    </row>
    <row r="46" spans="1:14">
      <c r="B46" s="16" t="s">
        <v>61</v>
      </c>
      <c r="C46" s="15"/>
      <c r="D46" s="15"/>
      <c r="E46" s="15"/>
      <c r="F46" s="15"/>
      <c r="G46" s="15"/>
      <c r="H46" s="15"/>
      <c r="I46" s="24">
        <v>110</v>
      </c>
      <c r="J46" s="24" t="s">
        <v>81</v>
      </c>
      <c r="K46" s="26" t="s">
        <v>74</v>
      </c>
    </row>
    <row r="47" spans="1:14">
      <c r="B47" s="15"/>
      <c r="C47" s="15"/>
      <c r="D47" s="15"/>
      <c r="E47" s="15"/>
      <c r="F47" s="15"/>
      <c r="G47" s="15"/>
      <c r="H47" s="15"/>
      <c r="I47" s="24">
        <v>111</v>
      </c>
      <c r="J47" s="24" t="s">
        <v>82</v>
      </c>
      <c r="K47" s="25"/>
    </row>
    <row r="48" spans="1:14" ht="15.75" thickBot="1">
      <c r="B48" s="21" t="s">
        <v>62</v>
      </c>
      <c r="C48" s="16" t="s">
        <v>63</v>
      </c>
      <c r="D48" s="15"/>
      <c r="E48" s="15"/>
      <c r="F48" s="15"/>
      <c r="G48" s="15"/>
      <c r="H48" s="15"/>
      <c r="I48" s="24">
        <v>112</v>
      </c>
      <c r="J48" s="24" t="s">
        <v>83</v>
      </c>
      <c r="K48" s="25">
        <v>26624</v>
      </c>
    </row>
    <row r="49" spans="1:16" ht="15.75" thickBot="1">
      <c r="B49" s="21" t="s">
        <v>51</v>
      </c>
      <c r="C49" s="20">
        <f>COUNT(C38:C41)</f>
        <v>4</v>
      </c>
      <c r="D49" s="16"/>
      <c r="E49" s="15"/>
      <c r="F49" s="15"/>
      <c r="G49" s="15"/>
      <c r="H49" s="15"/>
      <c r="I49" s="24">
        <v>113</v>
      </c>
      <c r="J49" s="24" t="s">
        <v>84</v>
      </c>
      <c r="K49" s="25">
        <v>92885</v>
      </c>
    </row>
    <row r="50" spans="1:16">
      <c r="B50" s="15"/>
      <c r="C50" s="15"/>
      <c r="D50" s="15"/>
      <c r="E50" s="15"/>
      <c r="F50" s="15"/>
      <c r="G50" s="15"/>
      <c r="H50" s="15"/>
      <c r="I50" s="24">
        <v>114</v>
      </c>
      <c r="J50" s="24" t="s">
        <v>85</v>
      </c>
      <c r="K50" s="27">
        <v>0</v>
      </c>
    </row>
    <row r="51" spans="1:16" ht="15.75" thickBot="1">
      <c r="B51" s="21" t="s">
        <v>62</v>
      </c>
      <c r="C51" s="16" t="s">
        <v>64</v>
      </c>
      <c r="D51" s="15"/>
      <c r="E51" s="15"/>
      <c r="F51" s="15"/>
      <c r="G51" s="15"/>
      <c r="H51" s="15"/>
    </row>
    <row r="52" spans="1:16" ht="15.75" thickBot="1">
      <c r="B52" s="21" t="s">
        <v>51</v>
      </c>
      <c r="C52" s="20">
        <f>COUNT(C38:C44)</f>
        <v>4</v>
      </c>
      <c r="D52" s="16"/>
      <c r="E52" s="15"/>
      <c r="F52" s="15"/>
      <c r="G52" s="15"/>
      <c r="H52" s="15"/>
      <c r="I52" s="22" t="s">
        <v>86</v>
      </c>
      <c r="J52" s="11"/>
      <c r="K52" s="11"/>
      <c r="L52" s="11"/>
      <c r="M52" s="11"/>
      <c r="N52" s="11"/>
      <c r="O52" s="28"/>
      <c r="P52" s="28"/>
    </row>
    <row r="53" spans="1:16" ht="15.75" thickBot="1">
      <c r="I53" s="30" t="s">
        <v>62</v>
      </c>
      <c r="J53" s="11" t="s">
        <v>87</v>
      </c>
      <c r="K53" s="11"/>
      <c r="L53" s="11"/>
      <c r="M53" s="11"/>
      <c r="N53" s="11"/>
      <c r="O53" s="28"/>
      <c r="P53" s="28"/>
    </row>
    <row r="54" spans="1:16" ht="15.75" thickBot="1">
      <c r="I54" s="30" t="s">
        <v>51</v>
      </c>
      <c r="J54" s="29">
        <f>COUNT(K37:K50)</f>
        <v>10</v>
      </c>
      <c r="K54" s="11"/>
      <c r="L54" s="11"/>
      <c r="M54" s="11"/>
      <c r="N54" s="11"/>
      <c r="O54" s="28"/>
      <c r="P54" s="28"/>
    </row>
    <row r="55" spans="1:16">
      <c r="I55" s="11"/>
      <c r="J55" s="11"/>
      <c r="K55" s="11"/>
      <c r="L55" s="11"/>
      <c r="M55" s="11"/>
      <c r="N55" s="11"/>
      <c r="O55" s="28"/>
      <c r="P55" s="28"/>
    </row>
    <row r="56" spans="1:16">
      <c r="I56" s="11"/>
      <c r="J56" s="11" t="s">
        <v>88</v>
      </c>
      <c r="K56" s="11"/>
      <c r="L56" s="11"/>
      <c r="M56" s="11"/>
      <c r="N56" s="11"/>
      <c r="O56" s="28"/>
      <c r="P56" s="28"/>
    </row>
    <row r="57" spans="1:16">
      <c r="I57" s="11"/>
      <c r="J57" s="11"/>
      <c r="K57" s="11"/>
      <c r="L57" s="11"/>
      <c r="M57" s="11"/>
      <c r="N57" s="11"/>
      <c r="O57" s="28"/>
      <c r="P57" s="28"/>
    </row>
    <row r="58" spans="1:16">
      <c r="I58" s="11"/>
      <c r="J58" s="11"/>
      <c r="K58" s="11"/>
      <c r="L58" s="11"/>
      <c r="M58" s="11"/>
      <c r="N58" s="11"/>
      <c r="O58" s="28"/>
      <c r="P58" s="28"/>
    </row>
    <row r="59" spans="1:16" ht="15.75" thickBot="1">
      <c r="I59" s="30" t="s">
        <v>62</v>
      </c>
      <c r="J59" s="11" t="s">
        <v>89</v>
      </c>
      <c r="K59" s="11"/>
      <c r="L59" s="11"/>
      <c r="M59" s="11"/>
      <c r="N59" s="11"/>
      <c r="O59" s="28"/>
      <c r="P59" s="28"/>
    </row>
    <row r="60" spans="1:16" ht="15.75" thickBot="1">
      <c r="I60" s="30" t="s">
        <v>51</v>
      </c>
      <c r="J60" s="29">
        <f>COUNTA(K37:K50)</f>
        <v>12</v>
      </c>
      <c r="K60" s="11"/>
      <c r="L60" s="11"/>
      <c r="M60" s="11"/>
      <c r="N60" s="11"/>
      <c r="O60" s="28"/>
      <c r="P60" s="28"/>
    </row>
    <row r="61" spans="1:16" ht="23.25">
      <c r="A61" s="13" t="s">
        <v>92</v>
      </c>
      <c r="B61" t="s">
        <v>93</v>
      </c>
    </row>
    <row r="62" spans="1:16">
      <c r="B62" s="32" t="s">
        <v>94</v>
      </c>
      <c r="C62" s="31"/>
      <c r="D62" s="31"/>
    </row>
    <row r="63" spans="1:16" ht="15.75" thickBot="1"/>
    <row r="64" spans="1:16">
      <c r="C64" s="35"/>
    </row>
    <row r="65" spans="1:6">
      <c r="C65" s="36" t="s">
        <v>95</v>
      </c>
    </row>
    <row r="66" spans="1:6">
      <c r="C66" s="36">
        <v>4</v>
      </c>
    </row>
    <row r="67" spans="1:6">
      <c r="C67" s="36"/>
    </row>
    <row r="68" spans="1:6">
      <c r="C68" s="36">
        <v>3</v>
      </c>
    </row>
    <row r="69" spans="1:6">
      <c r="C69" s="36"/>
    </row>
    <row r="70" spans="1:6">
      <c r="C70" s="36" t="s">
        <v>96</v>
      </c>
    </row>
    <row r="71" spans="1:6">
      <c r="C71" s="36"/>
    </row>
    <row r="72" spans="1:6">
      <c r="C72" s="36" t="e">
        <v>#DIV/0!</v>
      </c>
    </row>
    <row r="73" spans="1:6">
      <c r="C73" s="36" t="s">
        <v>97</v>
      </c>
    </row>
    <row r="74" spans="1:6" ht="15.75" thickBot="1">
      <c r="C74" s="37" t="s">
        <v>98</v>
      </c>
    </row>
    <row r="75" spans="1:6">
      <c r="A75" s="39"/>
      <c r="B75" s="40" t="s">
        <v>99</v>
      </c>
      <c r="C75" s="39"/>
      <c r="D75" s="39"/>
      <c r="E75" s="39"/>
      <c r="F75" s="39"/>
    </row>
    <row r="76" spans="1:6">
      <c r="A76" s="39"/>
      <c r="B76" s="39"/>
      <c r="C76" s="39"/>
      <c r="D76" s="39"/>
      <c r="E76" s="39"/>
      <c r="F76" s="39"/>
    </row>
    <row r="77" spans="1:6">
      <c r="A77" s="40">
        <v>1</v>
      </c>
      <c r="B77" s="40" t="s">
        <v>100</v>
      </c>
      <c r="C77" s="39"/>
      <c r="D77" s="39"/>
      <c r="E77" s="39"/>
      <c r="F77" s="39"/>
    </row>
    <row r="78" spans="1:6">
      <c r="A78" s="39"/>
      <c r="B78" s="41">
        <f>COUNT(C64:C74)</f>
        <v>2</v>
      </c>
      <c r="C78" s="40"/>
      <c r="D78" s="39"/>
      <c r="E78" s="39"/>
      <c r="F78" s="39"/>
    </row>
    <row r="79" spans="1:6">
      <c r="A79" s="39"/>
      <c r="B79" s="39"/>
      <c r="C79" s="39"/>
      <c r="D79" s="39"/>
      <c r="E79" s="39"/>
      <c r="F79" s="39"/>
    </row>
    <row r="80" spans="1:6">
      <c r="A80" s="40">
        <v>2</v>
      </c>
      <c r="B80" s="40" t="s">
        <v>101</v>
      </c>
      <c r="C80" s="39"/>
      <c r="D80" s="39"/>
      <c r="E80" s="39"/>
      <c r="F80" s="39"/>
    </row>
    <row r="81" spans="1:12">
      <c r="A81" s="39"/>
      <c r="B81" s="41">
        <f>COUNTBLANK(C64:C74)</f>
        <v>4</v>
      </c>
      <c r="C81" s="40"/>
      <c r="D81" s="39"/>
      <c r="E81" s="39"/>
      <c r="F81" s="39"/>
    </row>
    <row r="82" spans="1:12">
      <c r="A82" s="39"/>
      <c r="B82" s="39"/>
      <c r="C82" s="39"/>
      <c r="D82" s="39"/>
      <c r="E82" s="39"/>
      <c r="F82" s="39"/>
    </row>
    <row r="83" spans="1:12">
      <c r="A83" s="40">
        <v>3</v>
      </c>
      <c r="B83" s="40" t="s">
        <v>102</v>
      </c>
      <c r="C83" s="39"/>
      <c r="D83" s="39"/>
      <c r="E83" s="39"/>
      <c r="F83" s="39"/>
    </row>
    <row r="84" spans="1:12">
      <c r="A84" s="39"/>
      <c r="B84" s="41">
        <f>COUNTA(C64:C74)-COUNT(C64:C74)</f>
        <v>5</v>
      </c>
      <c r="C84" s="40"/>
      <c r="D84" s="39"/>
      <c r="E84" s="39"/>
      <c r="F84" s="39"/>
    </row>
    <row r="85" spans="1:12">
      <c r="A85" s="39"/>
      <c r="B85" s="39"/>
      <c r="C85" s="39"/>
      <c r="D85" s="39"/>
      <c r="E85" s="39"/>
      <c r="F85" s="39"/>
    </row>
    <row r="86" spans="1:12">
      <c r="A86" s="40">
        <v>4</v>
      </c>
      <c r="B86" s="40" t="s">
        <v>103</v>
      </c>
      <c r="C86" s="39"/>
      <c r="D86" s="39"/>
      <c r="E86" s="39"/>
      <c r="F86" s="39"/>
    </row>
    <row r="87" spans="1:12">
      <c r="A87" s="38"/>
      <c r="B87" s="41">
        <f>ROWS(C64:C74)</f>
        <v>11</v>
      </c>
      <c r="C87" s="40"/>
      <c r="D87" s="39"/>
      <c r="E87" s="39"/>
      <c r="F87" s="39"/>
    </row>
    <row r="91" spans="1:12" ht="21">
      <c r="A91" s="12" t="s">
        <v>104</v>
      </c>
      <c r="B91" t="s">
        <v>105</v>
      </c>
    </row>
    <row r="92" spans="1:12">
      <c r="B92" s="42" t="s">
        <v>106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spans="1:12">
      <c r="B93" s="43" t="s">
        <v>107</v>
      </c>
      <c r="C93" s="43">
        <v>101</v>
      </c>
      <c r="D93" s="43">
        <v>102</v>
      </c>
      <c r="E93" s="43">
        <v>103</v>
      </c>
      <c r="F93" s="43">
        <v>104</v>
      </c>
      <c r="G93" s="43">
        <v>105</v>
      </c>
      <c r="H93" s="43">
        <v>106</v>
      </c>
      <c r="I93" s="43">
        <v>107</v>
      </c>
      <c r="J93" s="43">
        <v>108</v>
      </c>
      <c r="K93" s="43">
        <v>109</v>
      </c>
      <c r="L93" s="43">
        <v>110</v>
      </c>
    </row>
    <row r="94" spans="1:12">
      <c r="B94" s="43" t="s">
        <v>108</v>
      </c>
      <c r="C94" s="44" t="s">
        <v>109</v>
      </c>
      <c r="D94" s="44" t="s">
        <v>110</v>
      </c>
      <c r="E94" s="44" t="s">
        <v>111</v>
      </c>
      <c r="F94" s="44" t="s">
        <v>112</v>
      </c>
      <c r="G94" s="44" t="s">
        <v>113</v>
      </c>
      <c r="H94" s="44" t="s">
        <v>114</v>
      </c>
      <c r="I94" s="44" t="s">
        <v>115</v>
      </c>
      <c r="J94" s="44" t="s">
        <v>116</v>
      </c>
      <c r="K94" s="44" t="s">
        <v>117</v>
      </c>
      <c r="L94" s="44" t="s">
        <v>118</v>
      </c>
    </row>
    <row r="95" spans="1:12">
      <c r="B95" s="43" t="s">
        <v>119</v>
      </c>
      <c r="C95" s="44" t="s">
        <v>120</v>
      </c>
      <c r="D95" s="44" t="s">
        <v>121</v>
      </c>
      <c r="E95" s="44" t="s">
        <v>122</v>
      </c>
      <c r="F95" s="44" t="s">
        <v>123</v>
      </c>
      <c r="G95" s="44" t="s">
        <v>120</v>
      </c>
      <c r="H95" s="44" t="s">
        <v>121</v>
      </c>
      <c r="I95" s="44" t="s">
        <v>122</v>
      </c>
      <c r="J95" s="44" t="s">
        <v>123</v>
      </c>
      <c r="K95" s="44" t="s">
        <v>120</v>
      </c>
      <c r="L95" s="44" t="s">
        <v>121</v>
      </c>
    </row>
    <row r="96" spans="1:12">
      <c r="B96" s="43" t="s">
        <v>124</v>
      </c>
      <c r="C96" s="44">
        <v>50000</v>
      </c>
      <c r="D96" s="44">
        <v>55000</v>
      </c>
      <c r="E96" s="44">
        <v>60000</v>
      </c>
      <c r="F96" s="44">
        <v>65000</v>
      </c>
      <c r="G96" s="44">
        <v>70000</v>
      </c>
      <c r="H96" s="44">
        <v>75000</v>
      </c>
      <c r="I96" s="44">
        <v>80000</v>
      </c>
      <c r="J96" s="44">
        <v>85000</v>
      </c>
      <c r="K96" s="44">
        <v>90000</v>
      </c>
      <c r="L96" s="44">
        <v>95000</v>
      </c>
    </row>
    <row r="97" spans="1:12">
      <c r="B97" s="43" t="s">
        <v>125</v>
      </c>
      <c r="C97" s="44">
        <v>2000</v>
      </c>
      <c r="D97" s="44">
        <v>2500</v>
      </c>
      <c r="E97" s="44">
        <v>3000</v>
      </c>
      <c r="F97" s="44">
        <v>3500</v>
      </c>
      <c r="G97" s="44">
        <v>4000</v>
      </c>
      <c r="H97" s="44">
        <v>4500</v>
      </c>
      <c r="I97" s="44">
        <v>5000</v>
      </c>
      <c r="J97" s="44">
        <v>5500</v>
      </c>
      <c r="K97" s="44">
        <v>6000</v>
      </c>
      <c r="L97" s="44">
        <v>6500</v>
      </c>
    </row>
    <row r="98" spans="1:12">
      <c r="B98" s="43" t="s">
        <v>126</v>
      </c>
      <c r="C98" s="44">
        <v>52000</v>
      </c>
      <c r="D98" s="44">
        <v>57500</v>
      </c>
      <c r="E98" s="44">
        <v>63000</v>
      </c>
      <c r="F98" s="44">
        <v>685000</v>
      </c>
      <c r="G98" s="44">
        <v>74000</v>
      </c>
      <c r="H98" s="44">
        <v>79500</v>
      </c>
      <c r="I98" s="44">
        <v>85000</v>
      </c>
      <c r="J98" s="44">
        <v>90500</v>
      </c>
      <c r="K98" s="44">
        <v>96000</v>
      </c>
      <c r="L98" s="44">
        <v>101500</v>
      </c>
    </row>
    <row r="100" spans="1:12">
      <c r="A100" s="48">
        <v>1</v>
      </c>
      <c r="B100" s="47" t="s">
        <v>127</v>
      </c>
      <c r="C100" s="45"/>
      <c r="D100" s="45"/>
      <c r="E100" s="45"/>
    </row>
    <row r="101" spans="1:12">
      <c r="A101" s="45"/>
      <c r="B101" s="45"/>
      <c r="C101" s="47"/>
      <c r="D101" s="47"/>
      <c r="E101" s="45"/>
    </row>
    <row r="102" spans="1:12">
      <c r="A102" s="45"/>
      <c r="B102" s="46" t="s">
        <v>128</v>
      </c>
      <c r="C102" s="49" t="str">
        <f>HLOOKUP(D93, B93:D95, 3, TRUE)</f>
        <v>Marketing</v>
      </c>
      <c r="D102" s="45"/>
      <c r="E102" s="45"/>
    </row>
    <row r="103" spans="1:12">
      <c r="A103" s="45"/>
      <c r="B103" s="47"/>
      <c r="C103" s="45"/>
      <c r="D103" s="45"/>
      <c r="E103" s="45"/>
    </row>
    <row r="104" spans="1:12">
      <c r="A104" s="48">
        <v>2</v>
      </c>
      <c r="B104" s="47" t="s">
        <v>129</v>
      </c>
      <c r="C104" s="45"/>
      <c r="D104" s="45"/>
    </row>
    <row r="105" spans="1:12">
      <c r="A105" s="45"/>
      <c r="B105" s="45"/>
      <c r="C105" s="47"/>
      <c r="D105" s="47"/>
    </row>
    <row r="106" spans="1:12">
      <c r="A106" s="45"/>
      <c r="B106" s="46" t="s">
        <v>128</v>
      </c>
      <c r="C106" s="49">
        <f>HLOOKUP(G93, B93:G96, 4, TRUE)</f>
        <v>70000</v>
      </c>
      <c r="D106" s="45"/>
    </row>
    <row r="108" spans="1:12">
      <c r="A108" s="48">
        <v>3</v>
      </c>
      <c r="B108" s="47" t="s">
        <v>130</v>
      </c>
      <c r="C108" s="47"/>
      <c r="D108" s="47"/>
    </row>
    <row r="109" spans="1:12" s="45" customFormat="1">
      <c r="A109" s="48"/>
      <c r="B109" s="47"/>
      <c r="C109" s="47"/>
      <c r="D109" s="47"/>
    </row>
    <row r="110" spans="1:12">
      <c r="B110" s="48" t="s">
        <v>128</v>
      </c>
      <c r="C110" s="49">
        <f>HLOOKUP(I93, B93:I98, 6, TRUE)</f>
        <v>85000</v>
      </c>
    </row>
    <row r="114" spans="1:11" ht="23.25">
      <c r="A114" s="13" t="s">
        <v>131</v>
      </c>
      <c r="B114" t="s">
        <v>153</v>
      </c>
      <c r="F114" s="13" t="s">
        <v>142</v>
      </c>
    </row>
    <row r="115" spans="1:11">
      <c r="B115" s="51" t="s">
        <v>132</v>
      </c>
      <c r="C115" s="52"/>
      <c r="D115" s="52"/>
      <c r="E115" s="52"/>
      <c r="F115" s="52"/>
      <c r="G115" s="57" t="s">
        <v>143</v>
      </c>
      <c r="H115" s="56"/>
      <c r="I115" s="56"/>
      <c r="J115" s="56"/>
      <c r="K115" s="56"/>
    </row>
    <row r="116" spans="1:11">
      <c r="B116" s="50" t="s">
        <v>133</v>
      </c>
      <c r="C116" s="52"/>
      <c r="D116" s="52"/>
      <c r="E116" s="52"/>
      <c r="F116" s="52"/>
      <c r="G116" s="58" t="s">
        <v>144</v>
      </c>
      <c r="H116" s="56"/>
      <c r="I116" s="56"/>
      <c r="J116" s="56"/>
      <c r="K116" s="56"/>
    </row>
    <row r="117" spans="1:11">
      <c r="B117" s="50" t="s">
        <v>134</v>
      </c>
      <c r="C117" s="52"/>
      <c r="D117" s="52"/>
      <c r="E117" s="52"/>
      <c r="F117" s="52"/>
      <c r="G117" s="57" t="s">
        <v>145</v>
      </c>
      <c r="H117" s="56"/>
      <c r="I117" s="56"/>
      <c r="J117" s="56"/>
      <c r="K117" s="56"/>
    </row>
    <row r="118" spans="1:11">
      <c r="B118" s="50" t="s">
        <v>135</v>
      </c>
      <c r="C118" s="52"/>
      <c r="D118" s="52"/>
      <c r="E118" s="52"/>
      <c r="F118" s="52"/>
    </row>
    <row r="120" spans="1:11">
      <c r="B120" s="53" t="s">
        <v>2</v>
      </c>
      <c r="C120" s="53" t="s">
        <v>136</v>
      </c>
      <c r="D120" s="53" t="s">
        <v>137</v>
      </c>
      <c r="G120" s="59"/>
      <c r="H120" s="60" t="s">
        <v>5</v>
      </c>
      <c r="I120" s="60" t="s">
        <v>6</v>
      </c>
      <c r="J120" s="59"/>
    </row>
    <row r="121" spans="1:11">
      <c r="B121" s="54" t="s">
        <v>138</v>
      </c>
      <c r="C121" s="54">
        <v>98</v>
      </c>
      <c r="D121" s="55" t="str">
        <f>IF(C121&gt;=60, "Pass", "Fail")</f>
        <v>Pass</v>
      </c>
      <c r="G121" s="61"/>
      <c r="H121" s="61" t="s">
        <v>146</v>
      </c>
      <c r="I121" s="61" t="s">
        <v>147</v>
      </c>
      <c r="J121" s="62" t="s">
        <v>148</v>
      </c>
    </row>
    <row r="122" spans="1:11">
      <c r="B122" s="54" t="s">
        <v>139</v>
      </c>
      <c r="C122" s="54">
        <v>55</v>
      </c>
      <c r="D122" s="55" t="str">
        <f t="shared" ref="D122:D124" si="0">IF(C122&gt;=60, "Pass", "Fail")</f>
        <v>Fail</v>
      </c>
      <c r="G122" s="61" t="s">
        <v>149</v>
      </c>
      <c r="H122" s="63">
        <v>94</v>
      </c>
      <c r="I122" s="63">
        <v>94</v>
      </c>
      <c r="J122" s="64" t="str">
        <f>IF(H122=I122,"Match","no match")</f>
        <v>Match</v>
      </c>
    </row>
    <row r="123" spans="1:11">
      <c r="B123" s="54" t="s">
        <v>140</v>
      </c>
      <c r="C123" s="54">
        <v>15</v>
      </c>
      <c r="D123" s="55" t="str">
        <f t="shared" si="0"/>
        <v>Fail</v>
      </c>
      <c r="G123" s="61" t="s">
        <v>150</v>
      </c>
      <c r="H123" s="63">
        <v>109</v>
      </c>
      <c r="I123" s="63">
        <v>109</v>
      </c>
      <c r="J123" s="64" t="str">
        <f>IF(H123=I123,"Match","no match")</f>
        <v>Match</v>
      </c>
    </row>
    <row r="124" spans="1:11">
      <c r="B124" s="54" t="s">
        <v>141</v>
      </c>
      <c r="C124" s="54">
        <v>60</v>
      </c>
      <c r="D124" s="55" t="str">
        <f t="shared" si="0"/>
        <v>Pass</v>
      </c>
      <c r="G124" s="61" t="s">
        <v>151</v>
      </c>
      <c r="H124" s="63">
        <v>85</v>
      </c>
      <c r="I124" s="63">
        <v>85.5</v>
      </c>
      <c r="J124" s="64" t="str">
        <f t="shared" ref="J124:J125" si="1">IF(H124=I124,"Match","no match")</f>
        <v>no match</v>
      </c>
    </row>
    <row r="125" spans="1:11">
      <c r="G125" s="61" t="s">
        <v>152</v>
      </c>
      <c r="H125" s="63">
        <v>12</v>
      </c>
      <c r="I125" s="63">
        <v>12</v>
      </c>
      <c r="J125" s="64" t="str">
        <f t="shared" si="1"/>
        <v>Match</v>
      </c>
    </row>
    <row r="129" spans="1:14" ht="23.25">
      <c r="A129" s="13" t="s">
        <v>186</v>
      </c>
      <c r="B129" t="s">
        <v>170</v>
      </c>
      <c r="H129" s="13" t="s">
        <v>185</v>
      </c>
    </row>
    <row r="130" spans="1:14">
      <c r="B130" s="66" t="s">
        <v>154</v>
      </c>
      <c r="C130" s="65"/>
      <c r="D130" s="65"/>
      <c r="E130" s="65"/>
      <c r="F130" s="65"/>
      <c r="G130" s="65"/>
      <c r="H130" s="65"/>
      <c r="I130" s="28" t="s">
        <v>171</v>
      </c>
      <c r="J130" s="28"/>
      <c r="K130" s="28"/>
      <c r="L130" s="28"/>
      <c r="M130" s="28"/>
      <c r="N130" s="28"/>
    </row>
    <row r="131" spans="1:14">
      <c r="B131" s="67" t="s">
        <v>155</v>
      </c>
      <c r="C131" s="65"/>
      <c r="D131" s="65"/>
      <c r="E131" s="65"/>
      <c r="F131" s="65"/>
      <c r="G131" s="65"/>
      <c r="H131" s="65"/>
    </row>
    <row r="132" spans="1:14">
      <c r="B132" s="68"/>
      <c r="C132" s="65"/>
      <c r="D132" s="65"/>
      <c r="E132" s="65"/>
      <c r="F132" s="65"/>
      <c r="G132" s="65"/>
      <c r="H132" s="65"/>
      <c r="I132" s="28"/>
      <c r="J132" s="28" t="s">
        <v>70</v>
      </c>
    </row>
    <row r="133" spans="1:14">
      <c r="B133" s="69"/>
      <c r="C133" s="69"/>
      <c r="D133" s="69"/>
      <c r="E133" s="70" t="s">
        <v>156</v>
      </c>
      <c r="F133" s="70" t="s">
        <v>157</v>
      </c>
      <c r="I133" s="77" t="s">
        <v>172</v>
      </c>
      <c r="J133" s="76">
        <v>1</v>
      </c>
    </row>
    <row r="134" spans="1:14">
      <c r="B134" s="71" t="s">
        <v>158</v>
      </c>
      <c r="C134" s="71" t="s">
        <v>2</v>
      </c>
      <c r="D134" s="72" t="s">
        <v>159</v>
      </c>
      <c r="E134" s="71" t="s">
        <v>160</v>
      </c>
      <c r="F134" s="71" t="s">
        <v>161</v>
      </c>
      <c r="I134" s="77" t="s">
        <v>173</v>
      </c>
      <c r="J134" s="76">
        <v>0.5</v>
      </c>
    </row>
    <row r="135" spans="1:14">
      <c r="B135" s="70">
        <v>1</v>
      </c>
      <c r="C135" s="70" t="s">
        <v>162</v>
      </c>
      <c r="D135" s="73">
        <v>16</v>
      </c>
      <c r="E135" s="74" t="str">
        <f>IF(D135&gt;=16, "eligible", "not eiligible")</f>
        <v>eligible</v>
      </c>
      <c r="F135" s="74" t="str">
        <f>IF(D135&gt;=18, "Adult", "Minor")</f>
        <v>Minor</v>
      </c>
    </row>
    <row r="136" spans="1:14">
      <c r="B136" s="70">
        <v>2</v>
      </c>
      <c r="C136" s="70" t="s">
        <v>163</v>
      </c>
      <c r="D136" s="73">
        <v>18</v>
      </c>
      <c r="E136" s="74" t="str">
        <f t="shared" ref="E136:E142" si="2">IF(D136&gt;=16, "eligible", "not eiligible")</f>
        <v>eligible</v>
      </c>
      <c r="F136" s="74" t="str">
        <f t="shared" ref="F136:F142" si="3">IF(D136&gt;=18, "Adult", "Minor")</f>
        <v>Adult</v>
      </c>
      <c r="I136" s="28" t="s">
        <v>174</v>
      </c>
      <c r="J136" s="28"/>
      <c r="K136" s="28"/>
      <c r="L136" s="28"/>
    </row>
    <row r="137" spans="1:14">
      <c r="B137" s="70">
        <v>3</v>
      </c>
      <c r="C137" s="70" t="s">
        <v>164</v>
      </c>
      <c r="D137" s="73">
        <v>15.5</v>
      </c>
      <c r="E137" s="74" t="str">
        <f t="shared" si="2"/>
        <v>not eiligible</v>
      </c>
      <c r="F137" s="74" t="str">
        <f t="shared" si="3"/>
        <v>Minor</v>
      </c>
      <c r="I137" s="28" t="s">
        <v>175</v>
      </c>
      <c r="J137" s="28"/>
      <c r="K137" s="28"/>
      <c r="L137" s="28"/>
    </row>
    <row r="138" spans="1:14">
      <c r="B138" s="70">
        <v>4</v>
      </c>
      <c r="C138" s="70" t="s">
        <v>165</v>
      </c>
      <c r="D138" s="73">
        <v>19</v>
      </c>
      <c r="E138" s="74" t="str">
        <f t="shared" si="2"/>
        <v>eligible</v>
      </c>
      <c r="F138" s="74" t="str">
        <f t="shared" si="3"/>
        <v>Adult</v>
      </c>
    </row>
    <row r="139" spans="1:14">
      <c r="B139" s="70">
        <v>5</v>
      </c>
      <c r="C139" s="70" t="s">
        <v>166</v>
      </c>
      <c r="D139" s="73">
        <v>18</v>
      </c>
      <c r="E139" s="74" t="str">
        <f t="shared" si="2"/>
        <v>eligible</v>
      </c>
      <c r="F139" s="74" t="str">
        <f t="shared" si="3"/>
        <v>Adult</v>
      </c>
      <c r="I139" s="78" t="s">
        <v>2</v>
      </c>
      <c r="J139" s="78" t="s">
        <v>176</v>
      </c>
      <c r="K139" s="78" t="s">
        <v>177</v>
      </c>
      <c r="L139" s="78" t="s">
        <v>178</v>
      </c>
    </row>
    <row r="140" spans="1:14">
      <c r="B140" s="70">
        <v>6</v>
      </c>
      <c r="C140" s="70" t="s">
        <v>167</v>
      </c>
      <c r="D140" s="73">
        <v>13</v>
      </c>
      <c r="E140" s="74" t="str">
        <f t="shared" si="2"/>
        <v>not eiligible</v>
      </c>
      <c r="F140" s="74" t="str">
        <f t="shared" si="3"/>
        <v>Minor</v>
      </c>
      <c r="I140" s="75" t="s">
        <v>179</v>
      </c>
      <c r="J140" s="75" t="s">
        <v>172</v>
      </c>
      <c r="K140" s="79">
        <v>46866</v>
      </c>
      <c r="L140" s="80">
        <f>IF(J140="A+", K140, K140*50%)</f>
        <v>46866</v>
      </c>
    </row>
    <row r="141" spans="1:14">
      <c r="B141" s="70">
        <v>7</v>
      </c>
      <c r="C141" s="70" t="s">
        <v>168</v>
      </c>
      <c r="D141" s="73">
        <v>18</v>
      </c>
      <c r="E141" s="74" t="str">
        <f t="shared" si="2"/>
        <v>eligible</v>
      </c>
      <c r="F141" s="74" t="str">
        <f t="shared" si="3"/>
        <v>Adult</v>
      </c>
      <c r="I141" s="75" t="s">
        <v>180</v>
      </c>
      <c r="J141" s="75" t="s">
        <v>173</v>
      </c>
      <c r="K141" s="79">
        <v>33495</v>
      </c>
      <c r="L141" s="80">
        <f>IF(J141="A+", K141, K141*50%)</f>
        <v>16747.5</v>
      </c>
    </row>
    <row r="142" spans="1:14">
      <c r="B142" s="70">
        <v>8</v>
      </c>
      <c r="C142" s="70" t="s">
        <v>169</v>
      </c>
      <c r="D142" s="73">
        <v>17</v>
      </c>
      <c r="E142" s="74" t="str">
        <f t="shared" si="2"/>
        <v>eligible</v>
      </c>
      <c r="F142" s="74" t="str">
        <f t="shared" si="3"/>
        <v>Minor</v>
      </c>
      <c r="I142" s="75" t="s">
        <v>181</v>
      </c>
      <c r="J142" s="75" t="s">
        <v>173</v>
      </c>
      <c r="K142" s="79">
        <v>35087</v>
      </c>
      <c r="L142" s="80">
        <f t="shared" ref="L142:L146" si="4">IF(J142="A+", K142, K142*50%)</f>
        <v>17543.5</v>
      </c>
    </row>
    <row r="143" spans="1:14">
      <c r="I143" s="75" t="s">
        <v>182</v>
      </c>
      <c r="J143" s="75" t="s">
        <v>172</v>
      </c>
      <c r="K143" s="79">
        <v>42603</v>
      </c>
      <c r="L143" s="80">
        <f t="shared" si="4"/>
        <v>42603</v>
      </c>
    </row>
    <row r="144" spans="1:14">
      <c r="I144" s="75" t="s">
        <v>166</v>
      </c>
      <c r="J144" s="75" t="s">
        <v>173</v>
      </c>
      <c r="K144" s="79">
        <v>36971</v>
      </c>
      <c r="L144" s="80">
        <f t="shared" si="4"/>
        <v>18485.5</v>
      </c>
    </row>
    <row r="145" spans="1:12">
      <c r="I145" s="75" t="s">
        <v>183</v>
      </c>
      <c r="J145" s="75" t="s">
        <v>172</v>
      </c>
      <c r="K145" s="79">
        <v>41286</v>
      </c>
      <c r="L145" s="80">
        <f t="shared" si="4"/>
        <v>41286</v>
      </c>
    </row>
    <row r="146" spans="1:12">
      <c r="I146" s="75" t="s">
        <v>184</v>
      </c>
      <c r="J146" s="75" t="s">
        <v>173</v>
      </c>
      <c r="K146" s="79">
        <v>37732</v>
      </c>
      <c r="L146" s="80">
        <f t="shared" si="4"/>
        <v>18866</v>
      </c>
    </row>
    <row r="149" spans="1:12" ht="23.25">
      <c r="A149" s="13" t="s">
        <v>187</v>
      </c>
      <c r="H149" s="13" t="s">
        <v>217</v>
      </c>
      <c r="I149" t="s">
        <v>242</v>
      </c>
    </row>
    <row r="150" spans="1:12">
      <c r="B150" s="84" t="s">
        <v>188</v>
      </c>
      <c r="C150" s="82"/>
      <c r="D150" s="82"/>
      <c r="E150" s="82"/>
      <c r="F150" s="82"/>
      <c r="G150" s="82"/>
      <c r="I150" s="101" t="s">
        <v>218</v>
      </c>
      <c r="J150" s="100"/>
      <c r="K150" s="100"/>
    </row>
    <row r="151" spans="1:12">
      <c r="B151" s="83" t="s">
        <v>189</v>
      </c>
      <c r="C151" s="82"/>
      <c r="D151" s="82"/>
      <c r="E151" s="82"/>
      <c r="F151" s="82"/>
      <c r="G151" s="82"/>
      <c r="I151" s="104" t="s">
        <v>219</v>
      </c>
      <c r="J151" s="105"/>
      <c r="K151" s="100"/>
    </row>
    <row r="152" spans="1:12">
      <c r="B152" s="81" t="s">
        <v>190</v>
      </c>
      <c r="C152" s="83" t="s">
        <v>191</v>
      </c>
      <c r="D152" s="82"/>
      <c r="E152" s="82"/>
      <c r="F152" s="82"/>
      <c r="G152" s="82"/>
      <c r="I152" s="101" t="s">
        <v>220</v>
      </c>
      <c r="J152" s="100"/>
      <c r="K152" s="100"/>
    </row>
    <row r="153" spans="1:12">
      <c r="B153" s="85" t="s">
        <v>192</v>
      </c>
      <c r="C153" s="83" t="s">
        <v>193</v>
      </c>
      <c r="D153" s="82"/>
      <c r="E153" s="82"/>
      <c r="F153" s="82"/>
      <c r="G153" s="82"/>
      <c r="I153" s="102" t="s">
        <v>2</v>
      </c>
      <c r="J153" s="102" t="s">
        <v>3</v>
      </c>
      <c r="K153" s="100"/>
    </row>
    <row r="154" spans="1:12">
      <c r="B154" s="81" t="s">
        <v>194</v>
      </c>
      <c r="C154" s="83" t="s">
        <v>195</v>
      </c>
      <c r="D154" s="82"/>
      <c r="E154" s="82"/>
      <c r="F154" s="82"/>
      <c r="G154" s="82"/>
      <c r="I154" s="103" t="s">
        <v>221</v>
      </c>
      <c r="J154" s="103">
        <v>200</v>
      </c>
      <c r="K154" s="100"/>
    </row>
    <row r="155" spans="1:12">
      <c r="B155" s="85" t="s">
        <v>196</v>
      </c>
      <c r="C155" s="83" t="s">
        <v>197</v>
      </c>
      <c r="D155" s="82"/>
      <c r="E155" s="82"/>
      <c r="F155" s="82"/>
      <c r="G155" s="82"/>
      <c r="I155" s="103" t="s">
        <v>222</v>
      </c>
      <c r="J155" s="103">
        <v>120</v>
      </c>
      <c r="K155" s="100"/>
    </row>
    <row r="156" spans="1:12">
      <c r="B156" s="85" t="s">
        <v>198</v>
      </c>
      <c r="C156" s="83" t="s">
        <v>199</v>
      </c>
      <c r="D156" s="82"/>
      <c r="E156" s="82"/>
      <c r="F156" s="82"/>
      <c r="G156" s="82"/>
      <c r="I156" s="103" t="s">
        <v>223</v>
      </c>
      <c r="J156" s="103">
        <v>156</v>
      </c>
      <c r="K156" s="100"/>
    </row>
    <row r="157" spans="1:12">
      <c r="B157" s="85" t="s">
        <v>200</v>
      </c>
      <c r="C157" s="83" t="s">
        <v>201</v>
      </c>
      <c r="D157" s="82"/>
      <c r="E157" s="82"/>
      <c r="F157" s="82"/>
      <c r="G157" s="82"/>
      <c r="I157" s="103" t="s">
        <v>224</v>
      </c>
      <c r="J157" s="103">
        <v>190</v>
      </c>
      <c r="K157" s="100"/>
    </row>
    <row r="158" spans="1:12">
      <c r="B158" s="82"/>
      <c r="C158" s="82"/>
      <c r="D158" s="82"/>
      <c r="E158" s="82"/>
      <c r="F158" s="82"/>
      <c r="G158" s="82"/>
      <c r="I158" s="103" t="s">
        <v>225</v>
      </c>
      <c r="J158" s="103">
        <v>320</v>
      </c>
      <c r="K158" s="100"/>
    </row>
    <row r="159" spans="1:12">
      <c r="B159" s="90" t="s">
        <v>202</v>
      </c>
      <c r="C159" s="88"/>
      <c r="D159" s="88"/>
      <c r="E159" s="88"/>
      <c r="I159" s="103" t="s">
        <v>226</v>
      </c>
      <c r="J159" s="103">
        <v>89</v>
      </c>
      <c r="K159" s="100"/>
    </row>
    <row r="160" spans="1:12" ht="15.75" thickBot="1">
      <c r="B160" s="89">
        <v>2</v>
      </c>
      <c r="C160" s="89" t="s">
        <v>203</v>
      </c>
      <c r="D160" s="89">
        <v>3</v>
      </c>
      <c r="E160" s="91">
        <f>B160+D160</f>
        <v>5</v>
      </c>
      <c r="I160" s="100"/>
      <c r="J160" s="100"/>
      <c r="K160" s="100"/>
    </row>
    <row r="161" spans="2:11" ht="15.75" thickBot="1">
      <c r="B161" s="89">
        <v>3</v>
      </c>
      <c r="C161" s="89" t="s">
        <v>204</v>
      </c>
      <c r="D161" s="89">
        <v>1</v>
      </c>
      <c r="E161" s="91">
        <f>B161-D161</f>
        <v>2</v>
      </c>
      <c r="I161" s="101" t="s">
        <v>227</v>
      </c>
      <c r="J161" s="106">
        <f>MAX(J154:J159)</f>
        <v>320</v>
      </c>
      <c r="K161" s="101"/>
    </row>
    <row r="162" spans="2:11" ht="15.75" thickBot="1">
      <c r="B162" s="89">
        <v>5</v>
      </c>
      <c r="C162" s="89" t="s">
        <v>205</v>
      </c>
      <c r="D162" s="89">
        <v>10</v>
      </c>
      <c r="E162" s="91">
        <f>B162*D162</f>
        <v>50</v>
      </c>
      <c r="I162" s="101" t="s">
        <v>228</v>
      </c>
      <c r="J162" s="106">
        <f>MIN(J154:J159)</f>
        <v>89</v>
      </c>
      <c r="K162" s="101"/>
    </row>
    <row r="163" spans="2:11" ht="15.75" thickBot="1">
      <c r="B163" s="89">
        <v>10</v>
      </c>
      <c r="C163" s="89" t="s">
        <v>206</v>
      </c>
      <c r="D163" s="89">
        <v>2</v>
      </c>
      <c r="E163" s="91">
        <f>B163/D163</f>
        <v>5</v>
      </c>
      <c r="I163" s="101" t="s">
        <v>229</v>
      </c>
      <c r="J163" s="106">
        <f>AVERAGE(J161:J162)</f>
        <v>204.5</v>
      </c>
      <c r="K163" s="101"/>
    </row>
    <row r="164" spans="2:11">
      <c r="B164" s="88"/>
      <c r="C164" s="88"/>
      <c r="D164" s="88"/>
      <c r="E164" s="88"/>
    </row>
    <row r="165" spans="2:11">
      <c r="B165" s="94" t="s">
        <v>207</v>
      </c>
      <c r="C165" s="92"/>
      <c r="D165" s="92"/>
      <c r="E165" s="92"/>
      <c r="F165" s="92"/>
    </row>
    <row r="166" spans="2:11">
      <c r="B166" s="95">
        <v>10</v>
      </c>
      <c r="C166" s="93" t="s">
        <v>208</v>
      </c>
      <c r="D166" s="93">
        <v>100</v>
      </c>
      <c r="E166" s="97">
        <f>B166/D166*100</f>
        <v>10</v>
      </c>
      <c r="F166" s="92"/>
    </row>
    <row r="167" spans="2:11">
      <c r="B167" s="95">
        <v>3</v>
      </c>
      <c r="C167" s="93" t="s">
        <v>208</v>
      </c>
      <c r="D167" s="93">
        <v>6</v>
      </c>
      <c r="E167" s="97">
        <f t="shared" ref="E167:E168" si="5">B167/D167*100</f>
        <v>50</v>
      </c>
      <c r="F167" s="92"/>
    </row>
    <row r="168" spans="2:11">
      <c r="B168" s="95">
        <v>1.5</v>
      </c>
      <c r="C168" s="93" t="s">
        <v>208</v>
      </c>
      <c r="D168" s="93">
        <v>1</v>
      </c>
      <c r="E168" s="97">
        <f t="shared" si="5"/>
        <v>150</v>
      </c>
      <c r="F168" s="92"/>
    </row>
    <row r="169" spans="2:11">
      <c r="B169" s="92"/>
      <c r="C169" s="92"/>
      <c r="D169" s="92"/>
      <c r="E169" s="92"/>
      <c r="F169" s="92"/>
    </row>
    <row r="170" spans="2:11">
      <c r="B170" s="94" t="s">
        <v>209</v>
      </c>
      <c r="C170" s="92"/>
      <c r="D170" s="92"/>
      <c r="E170" s="92"/>
      <c r="F170" s="92"/>
    </row>
    <row r="171" spans="2:11">
      <c r="B171" s="95" t="s">
        <v>210</v>
      </c>
      <c r="C171" s="95" t="s">
        <v>211</v>
      </c>
      <c r="D171" s="95" t="s">
        <v>212</v>
      </c>
      <c r="E171" s="95" t="s">
        <v>213</v>
      </c>
      <c r="F171" s="95"/>
    </row>
    <row r="172" spans="2:11">
      <c r="B172" s="93" t="s">
        <v>214</v>
      </c>
      <c r="C172" s="93">
        <v>100</v>
      </c>
      <c r="D172" s="93">
        <v>150</v>
      </c>
      <c r="E172" s="97">
        <f>C172-D172/100</f>
        <v>98.5</v>
      </c>
      <c r="F172" s="96"/>
    </row>
    <row r="173" spans="2:11">
      <c r="B173" s="93" t="s">
        <v>215</v>
      </c>
      <c r="C173" s="93">
        <v>100</v>
      </c>
      <c r="D173" s="93">
        <v>50</v>
      </c>
      <c r="E173" s="97">
        <f>C173-D173/100</f>
        <v>99.5</v>
      </c>
      <c r="F173" s="96"/>
    </row>
    <row r="174" spans="2:11">
      <c r="B174" s="92"/>
      <c r="C174" s="92"/>
      <c r="D174" s="92"/>
      <c r="E174" s="92"/>
      <c r="F174" s="92"/>
    </row>
    <row r="175" spans="2:11" ht="23.25">
      <c r="B175" s="98" t="s">
        <v>216</v>
      </c>
      <c r="C175" s="92"/>
      <c r="D175" s="92"/>
      <c r="E175" s="92"/>
      <c r="F175" s="92"/>
    </row>
    <row r="179" spans="1:12" ht="23.25">
      <c r="A179" s="13" t="s">
        <v>230</v>
      </c>
      <c r="B179" t="s">
        <v>243</v>
      </c>
      <c r="H179" s="110" t="s">
        <v>244</v>
      </c>
    </row>
    <row r="180" spans="1:12">
      <c r="B180" s="108" t="s">
        <v>231</v>
      </c>
      <c r="C180" s="107"/>
      <c r="D180" s="107"/>
      <c r="E180" s="107"/>
      <c r="F180" s="107"/>
      <c r="H180" s="107"/>
      <c r="I180" s="112" t="s">
        <v>245</v>
      </c>
      <c r="J180" s="111"/>
      <c r="K180" s="111"/>
      <c r="L180" s="111"/>
    </row>
    <row r="181" spans="1:12">
      <c r="B181" s="45"/>
      <c r="C181" s="109"/>
      <c r="D181" s="109"/>
      <c r="I181" s="113" t="s">
        <v>246</v>
      </c>
      <c r="J181" s="111"/>
      <c r="K181" s="111"/>
      <c r="L181" s="111"/>
    </row>
    <row r="182" spans="1:12">
      <c r="B182" s="108" t="s">
        <v>232</v>
      </c>
      <c r="C182" s="107"/>
      <c r="D182" s="107"/>
      <c r="E182" s="107"/>
      <c r="F182" s="107"/>
      <c r="G182" s="107"/>
      <c r="H182" s="107"/>
      <c r="I182" s="107"/>
    </row>
    <row r="183" spans="1:12">
      <c r="B183" s="108" t="s">
        <v>233</v>
      </c>
      <c r="C183" s="107"/>
      <c r="D183" s="107"/>
      <c r="E183" s="107"/>
      <c r="F183" s="107"/>
      <c r="G183" s="107"/>
      <c r="H183" s="107"/>
      <c r="I183" s="114"/>
      <c r="J183" s="115" t="s">
        <v>235</v>
      </c>
    </row>
    <row r="184" spans="1:12">
      <c r="B184" s="108" t="s">
        <v>234</v>
      </c>
      <c r="C184" s="107"/>
      <c r="D184" s="107"/>
      <c r="E184" s="107"/>
      <c r="F184" s="107"/>
      <c r="G184" s="107"/>
      <c r="H184" s="107"/>
      <c r="I184" s="115" t="s">
        <v>247</v>
      </c>
      <c r="J184" s="115">
        <v>95</v>
      </c>
      <c r="K184" s="109"/>
    </row>
    <row r="185" spans="1:12">
      <c r="I185" s="115" t="s">
        <v>240</v>
      </c>
      <c r="J185" s="115">
        <v>54</v>
      </c>
    </row>
    <row r="186" spans="1:12">
      <c r="B186" s="87"/>
      <c r="C186" s="86" t="s">
        <v>235</v>
      </c>
      <c r="D186" s="86" t="s">
        <v>236</v>
      </c>
      <c r="E186" s="86" t="s">
        <v>237</v>
      </c>
      <c r="F186" s="86" t="s">
        <v>238</v>
      </c>
      <c r="G186" s="87"/>
      <c r="I186" s="115" t="s">
        <v>241</v>
      </c>
      <c r="J186" s="115">
        <v>100</v>
      </c>
    </row>
    <row r="187" spans="1:12">
      <c r="B187" s="86" t="s">
        <v>239</v>
      </c>
      <c r="C187" s="86">
        <v>95</v>
      </c>
      <c r="D187" s="86">
        <v>56</v>
      </c>
      <c r="E187" s="86">
        <v>14</v>
      </c>
      <c r="F187" s="86">
        <v>66</v>
      </c>
      <c r="G187" s="99" t="str">
        <f>IF(MIN(C187:F187) &lt;50, "Fail", "Pass")</f>
        <v>Fail</v>
      </c>
      <c r="I187" s="115" t="s">
        <v>141</v>
      </c>
      <c r="J187" s="115">
        <v>49</v>
      </c>
    </row>
    <row r="188" spans="1:12">
      <c r="B188" s="86" t="s">
        <v>240</v>
      </c>
      <c r="C188" s="86">
        <v>54</v>
      </c>
      <c r="D188" s="86">
        <v>89</v>
      </c>
      <c r="E188" s="86">
        <v>53</v>
      </c>
      <c r="F188" s="86">
        <v>66</v>
      </c>
      <c r="G188" s="99" t="str">
        <f>IF(MIN(C188:F188) &lt;50, "Fail", "Pass")</f>
        <v>Pass</v>
      </c>
      <c r="I188" s="115" t="s">
        <v>248</v>
      </c>
      <c r="J188" s="115">
        <v>67</v>
      </c>
    </row>
    <row r="189" spans="1:12">
      <c r="B189" s="86" t="s">
        <v>241</v>
      </c>
      <c r="C189" s="86">
        <v>100</v>
      </c>
      <c r="D189" s="86">
        <v>69</v>
      </c>
      <c r="E189" s="86">
        <v>78</v>
      </c>
      <c r="F189" s="86">
        <v>53</v>
      </c>
      <c r="G189" s="99" t="str">
        <f t="shared" ref="G189:G190" si="6">IF(MIN(C189:F189) &lt;50, "Fail", "Pass")</f>
        <v>Pass</v>
      </c>
      <c r="I189" s="115" t="s">
        <v>249</v>
      </c>
      <c r="J189" s="115">
        <v>45</v>
      </c>
    </row>
    <row r="190" spans="1:12">
      <c r="B190" s="86" t="s">
        <v>141</v>
      </c>
      <c r="C190" s="86">
        <v>49</v>
      </c>
      <c r="D190" s="86">
        <v>70</v>
      </c>
      <c r="E190" s="86">
        <v>87</v>
      </c>
      <c r="F190" s="86">
        <v>100</v>
      </c>
      <c r="G190" s="99" t="str">
        <f t="shared" si="6"/>
        <v>Fail</v>
      </c>
      <c r="I190" s="115" t="s">
        <v>250</v>
      </c>
      <c r="J190" s="115">
        <v>77</v>
      </c>
    </row>
    <row r="191" spans="1:12">
      <c r="I191" s="114"/>
      <c r="J191" s="116" t="str">
        <f>IF(MAX(J184:J190) &gt;99, "Easy","not Easy")</f>
        <v>Easy</v>
      </c>
    </row>
    <row r="194" spans="1:10" ht="23.25">
      <c r="A194" s="13" t="s">
        <v>251</v>
      </c>
      <c r="H194" s="13" t="s">
        <v>263</v>
      </c>
    </row>
    <row r="195" spans="1:10">
      <c r="B195" s="117" t="s">
        <v>252</v>
      </c>
      <c r="C195" s="117"/>
      <c r="D195" s="117"/>
      <c r="I195" s="122" t="s">
        <v>264</v>
      </c>
      <c r="J195" s="121"/>
    </row>
    <row r="196" spans="1:10">
      <c r="B196" s="117" t="s">
        <v>253</v>
      </c>
      <c r="C196" s="117"/>
      <c r="D196" s="117"/>
      <c r="I196" s="122" t="s">
        <v>265</v>
      </c>
      <c r="J196" s="121"/>
    </row>
    <row r="197" spans="1:10">
      <c r="B197" s="117" t="s">
        <v>254</v>
      </c>
      <c r="C197" s="117"/>
      <c r="D197" s="117"/>
    </row>
    <row r="198" spans="1:10">
      <c r="B198" s="117" t="s">
        <v>255</v>
      </c>
      <c r="C198" s="117"/>
      <c r="D198" s="117"/>
      <c r="I198" s="125" t="s">
        <v>28</v>
      </c>
      <c r="J198" s="125" t="s">
        <v>266</v>
      </c>
    </row>
    <row r="199" spans="1:10">
      <c r="I199" s="124" t="s">
        <v>267</v>
      </c>
      <c r="J199" s="126">
        <v>759</v>
      </c>
    </row>
    <row r="200" spans="1:10">
      <c r="B200" s="117" t="s">
        <v>256</v>
      </c>
      <c r="C200" s="117"/>
      <c r="D200" s="117"/>
      <c r="I200" s="124" t="s">
        <v>268</v>
      </c>
      <c r="J200" s="126">
        <v>200</v>
      </c>
    </row>
    <row r="201" spans="1:10">
      <c r="I201" s="124" t="s">
        <v>269</v>
      </c>
      <c r="J201" s="126">
        <v>42</v>
      </c>
    </row>
    <row r="202" spans="1:10">
      <c r="B202" s="118" t="s">
        <v>257</v>
      </c>
      <c r="C202" s="118" t="s">
        <v>136</v>
      </c>
      <c r="D202" s="118" t="s">
        <v>258</v>
      </c>
      <c r="I202" s="124" t="s">
        <v>270</v>
      </c>
      <c r="J202" s="126">
        <v>423</v>
      </c>
    </row>
    <row r="203" spans="1:10">
      <c r="B203" s="119" t="s">
        <v>259</v>
      </c>
      <c r="C203" s="119">
        <v>78</v>
      </c>
      <c r="D203" s="120" t="str">
        <f>IF(C203&gt;=80,"Excellent", IF(C203&gt;=60, "Good",IF(C203&lt;60, "Fail")))</f>
        <v>Good</v>
      </c>
      <c r="I203" s="124" t="s">
        <v>271</v>
      </c>
      <c r="J203" s="126">
        <v>200</v>
      </c>
    </row>
    <row r="204" spans="1:10">
      <c r="B204" s="119" t="s">
        <v>260</v>
      </c>
      <c r="C204" s="119">
        <v>85</v>
      </c>
      <c r="D204" s="120" t="str">
        <f t="shared" ref="D204:D206" si="7">IF(C204&gt;=80,"Excellent", IF(C204&gt;=60, "Good",IF(C204&lt;60, "Fail")))</f>
        <v>Excellent</v>
      </c>
      <c r="I204" s="124" t="s">
        <v>272</v>
      </c>
      <c r="J204" s="126">
        <v>50</v>
      </c>
    </row>
    <row r="205" spans="1:10">
      <c r="B205" s="119" t="s">
        <v>261</v>
      </c>
      <c r="C205" s="119">
        <v>44</v>
      </c>
      <c r="D205" s="120" t="str">
        <f t="shared" si="7"/>
        <v>Fail</v>
      </c>
      <c r="I205" s="124" t="s">
        <v>273</v>
      </c>
      <c r="J205" s="126">
        <v>700</v>
      </c>
    </row>
    <row r="206" spans="1:10">
      <c r="B206" s="119" t="s">
        <v>262</v>
      </c>
      <c r="C206" s="119">
        <v>61</v>
      </c>
      <c r="D206" s="120" t="str">
        <f t="shared" si="7"/>
        <v>Good</v>
      </c>
      <c r="I206" s="124" t="s">
        <v>274</v>
      </c>
      <c r="J206" s="126">
        <v>450</v>
      </c>
    </row>
    <row r="207" spans="1:10">
      <c r="I207" s="124" t="s">
        <v>275</v>
      </c>
      <c r="J207" s="126">
        <v>605</v>
      </c>
    </row>
    <row r="208" spans="1:10">
      <c r="I208" s="124" t="s">
        <v>276</v>
      </c>
      <c r="J208" s="126">
        <v>240</v>
      </c>
    </row>
    <row r="209" spans="1:12">
      <c r="I209" s="124" t="s">
        <v>277</v>
      </c>
      <c r="J209" s="126">
        <v>685</v>
      </c>
    </row>
    <row r="210" spans="1:12" ht="15.75" thickBot="1">
      <c r="I210" s="124" t="s">
        <v>278</v>
      </c>
      <c r="J210" s="126">
        <v>295</v>
      </c>
      <c r="K210" s="123"/>
      <c r="L210" s="123"/>
    </row>
    <row r="211" spans="1:12" ht="15.75" thickBot="1">
      <c r="I211" s="124" t="s">
        <v>279</v>
      </c>
      <c r="J211" s="128">
        <f>SUM(J199:J210)</f>
        <v>4649</v>
      </c>
      <c r="K211" s="127" t="s">
        <v>280</v>
      </c>
      <c r="L211" s="127"/>
    </row>
    <row r="213" spans="1:12" ht="23.25">
      <c r="A213" s="13" t="s">
        <v>281</v>
      </c>
      <c r="F213" s="13" t="s">
        <v>286</v>
      </c>
    </row>
    <row r="214" spans="1:12">
      <c r="B214" s="130" t="s">
        <v>282</v>
      </c>
      <c r="C214" s="129"/>
      <c r="F214" s="141">
        <v>1</v>
      </c>
      <c r="G214" s="139" t="s">
        <v>287</v>
      </c>
      <c r="H214" s="138"/>
      <c r="I214" s="138"/>
      <c r="J214" s="138"/>
      <c r="K214" s="138"/>
    </row>
    <row r="215" spans="1:12">
      <c r="B215" s="130" t="s">
        <v>283</v>
      </c>
      <c r="C215" s="129"/>
      <c r="F215" s="45"/>
      <c r="G215" s="45"/>
      <c r="H215" s="45"/>
      <c r="I215" s="45"/>
      <c r="J215" s="45"/>
      <c r="K215" s="45"/>
    </row>
    <row r="216" spans="1:12">
      <c r="F216" s="138"/>
      <c r="G216" s="141" t="s">
        <v>288</v>
      </c>
      <c r="H216" s="142" t="s">
        <v>289</v>
      </c>
      <c r="I216" s="138"/>
      <c r="J216" s="140"/>
      <c r="K216" s="138"/>
    </row>
    <row r="217" spans="1:12">
      <c r="B217" s="131" t="s">
        <v>284</v>
      </c>
      <c r="C217" s="132" t="s">
        <v>285</v>
      </c>
      <c r="F217" s="138"/>
      <c r="G217" s="139" t="s">
        <v>290</v>
      </c>
      <c r="H217" s="151">
        <f>SUM(I238:I395)</f>
        <v>99498</v>
      </c>
      <c r="I217" s="139"/>
      <c r="J217" s="139"/>
      <c r="K217" s="138"/>
    </row>
    <row r="218" spans="1:12">
      <c r="B218" s="133">
        <v>42005</v>
      </c>
      <c r="C218" s="134">
        <v>432.17</v>
      </c>
      <c r="F218" s="45"/>
      <c r="G218" s="45"/>
      <c r="H218" s="45"/>
      <c r="I218" s="45"/>
      <c r="J218" s="45"/>
      <c r="K218" s="45"/>
    </row>
    <row r="219" spans="1:12">
      <c r="B219" s="133">
        <v>42351</v>
      </c>
      <c r="C219" s="134">
        <v>528.5</v>
      </c>
      <c r="F219" s="138"/>
      <c r="G219" s="141" t="s">
        <v>288</v>
      </c>
      <c r="H219" s="142" t="s">
        <v>291</v>
      </c>
      <c r="I219" s="138"/>
      <c r="J219" s="138"/>
      <c r="K219" s="138"/>
    </row>
    <row r="220" spans="1:12">
      <c r="B220" s="133">
        <v>42007</v>
      </c>
      <c r="C220" s="134">
        <v>810.71</v>
      </c>
      <c r="F220" s="138"/>
      <c r="G220" s="139" t="s">
        <v>290</v>
      </c>
      <c r="H220" s="151">
        <f>SUM(J238:J395)</f>
        <v>211409</v>
      </c>
      <c r="I220" s="139"/>
      <c r="J220" s="138"/>
      <c r="K220" s="138"/>
    </row>
    <row r="221" spans="1:12">
      <c r="B221" s="133">
        <v>42008</v>
      </c>
      <c r="C221" s="134">
        <v>418.54</v>
      </c>
      <c r="F221" s="45"/>
      <c r="G221" s="45"/>
      <c r="H221" s="45"/>
      <c r="I221" s="45"/>
      <c r="J221" s="45"/>
      <c r="K221" s="45"/>
    </row>
    <row r="222" spans="1:12">
      <c r="B222" s="133">
        <v>42009</v>
      </c>
      <c r="C222" s="134">
        <v>722.22</v>
      </c>
      <c r="F222" s="138"/>
      <c r="G222" s="141" t="s">
        <v>288</v>
      </c>
      <c r="H222" s="142" t="s">
        <v>292</v>
      </c>
      <c r="I222" s="138"/>
      <c r="J222" s="138"/>
      <c r="K222" s="138"/>
    </row>
    <row r="223" spans="1:12">
      <c r="B223" s="133">
        <v>42010</v>
      </c>
      <c r="C223" s="134">
        <v>460.28</v>
      </c>
      <c r="F223" s="138"/>
      <c r="G223" s="139" t="s">
        <v>290</v>
      </c>
      <c r="H223" s="151">
        <f>SUM(K238:K395)</f>
        <v>127820</v>
      </c>
      <c r="I223" s="139"/>
      <c r="J223" s="138"/>
      <c r="K223" s="138"/>
    </row>
    <row r="224" spans="1:12">
      <c r="B224" s="133">
        <v>42349</v>
      </c>
      <c r="C224" s="134">
        <v>483.58</v>
      </c>
      <c r="F224" s="45"/>
      <c r="G224" s="45"/>
      <c r="H224" s="45"/>
      <c r="I224" s="45"/>
      <c r="J224" s="45"/>
      <c r="K224" s="45"/>
    </row>
    <row r="225" spans="2:11">
      <c r="B225" s="133">
        <v>42012</v>
      </c>
      <c r="C225" s="134">
        <v>114.53</v>
      </c>
      <c r="F225" s="141">
        <v>2</v>
      </c>
      <c r="G225" s="143" t="s">
        <v>293</v>
      </c>
      <c r="H225" s="144"/>
      <c r="I225" s="144"/>
      <c r="J225" s="144"/>
      <c r="K225" s="138"/>
    </row>
    <row r="226" spans="2:11">
      <c r="B226" s="133">
        <v>42013</v>
      </c>
      <c r="C226" s="134">
        <v>609.12</v>
      </c>
      <c r="F226" s="138"/>
      <c r="G226" s="138"/>
      <c r="H226" s="152">
        <f>SUM(I240:K240)</f>
        <v>5124</v>
      </c>
      <c r="I226" s="139"/>
      <c r="J226" s="139"/>
      <c r="K226" s="139"/>
    </row>
    <row r="227" spans="2:11">
      <c r="B227" s="133">
        <v>42014</v>
      </c>
      <c r="C227" s="134">
        <v>1197.9000000000001</v>
      </c>
      <c r="F227" s="45"/>
      <c r="G227" s="45"/>
      <c r="H227" s="45"/>
      <c r="I227" s="45"/>
      <c r="J227" s="45"/>
      <c r="K227" s="45"/>
    </row>
    <row r="228" spans="2:11">
      <c r="B228" s="133">
        <v>42015</v>
      </c>
      <c r="C228" s="134">
        <v>228.89</v>
      </c>
      <c r="F228" s="141">
        <v>3</v>
      </c>
      <c r="G228" s="143" t="s">
        <v>294</v>
      </c>
      <c r="H228" s="144"/>
      <c r="I228" s="144"/>
      <c r="J228" s="144"/>
      <c r="K228" s="144"/>
    </row>
    <row r="229" spans="2:11">
      <c r="B229" s="133">
        <v>42016</v>
      </c>
      <c r="C229" s="134">
        <v>1380.07</v>
      </c>
      <c r="F229" s="138"/>
      <c r="G229" s="138"/>
      <c r="H229" s="152">
        <f>SUM(I238:K257)</f>
        <v>89884</v>
      </c>
      <c r="I229" s="139"/>
      <c r="J229" s="149"/>
      <c r="K229" s="139"/>
    </row>
    <row r="230" spans="2:11">
      <c r="B230" s="133">
        <v>42017</v>
      </c>
      <c r="C230" s="134">
        <v>1026.96</v>
      </c>
      <c r="F230" s="138"/>
      <c r="G230" s="138"/>
      <c r="H230" s="138"/>
      <c r="I230" s="138"/>
      <c r="J230" s="149"/>
      <c r="K230" s="139"/>
    </row>
    <row r="231" spans="2:11">
      <c r="B231" s="133">
        <v>42018</v>
      </c>
      <c r="C231" s="134">
        <v>760.24</v>
      </c>
      <c r="F231" s="141">
        <v>4</v>
      </c>
      <c r="G231" s="143" t="s">
        <v>295</v>
      </c>
      <c r="H231" s="144"/>
      <c r="I231" s="144"/>
      <c r="J231" s="144"/>
      <c r="K231" s="144"/>
    </row>
    <row r="232" spans="2:11">
      <c r="B232" s="133">
        <v>42019</v>
      </c>
      <c r="C232" s="134">
        <v>414.11</v>
      </c>
      <c r="F232" s="138"/>
      <c r="G232" s="139" t="s">
        <v>296</v>
      </c>
      <c r="H232" s="153">
        <f>H217+H223</f>
        <v>227318</v>
      </c>
      <c r="I232" s="139"/>
      <c r="J232" s="138"/>
      <c r="K232" s="141"/>
    </row>
    <row r="233" spans="2:11">
      <c r="B233" s="133">
        <v>42020</v>
      </c>
      <c r="C233" s="134">
        <v>1728.81</v>
      </c>
      <c r="F233" s="138"/>
      <c r="G233" s="139" t="s">
        <v>297</v>
      </c>
      <c r="H233" s="154">
        <f>SUM(I238:I395)+SUM(K238:K395)</f>
        <v>227318</v>
      </c>
      <c r="I233" s="139"/>
      <c r="J233" s="138"/>
      <c r="K233" s="139"/>
    </row>
    <row r="234" spans="2:11">
      <c r="B234" s="133">
        <v>42021</v>
      </c>
      <c r="C234" s="134">
        <v>276.06</v>
      </c>
      <c r="F234" s="138"/>
      <c r="G234" s="139"/>
      <c r="H234" s="138"/>
      <c r="I234" s="138"/>
      <c r="J234" s="138"/>
      <c r="K234" s="139"/>
    </row>
    <row r="235" spans="2:11">
      <c r="B235" s="133">
        <v>42022</v>
      </c>
      <c r="C235" s="134">
        <v>462.22</v>
      </c>
      <c r="F235" s="138"/>
      <c r="G235" s="138"/>
      <c r="H235" s="138"/>
      <c r="I235" s="138"/>
      <c r="J235" s="138"/>
      <c r="K235" s="139"/>
    </row>
    <row r="236" spans="2:11">
      <c r="B236" s="133">
        <v>42023</v>
      </c>
      <c r="C236" s="134">
        <v>1281.0999999999999</v>
      </c>
      <c r="F236" s="138"/>
      <c r="G236" s="138"/>
      <c r="H236" s="138"/>
      <c r="I236" s="211" t="s">
        <v>288</v>
      </c>
      <c r="J236" s="212"/>
      <c r="K236" s="213"/>
    </row>
    <row r="237" spans="2:11">
      <c r="B237" s="133">
        <v>42024</v>
      </c>
      <c r="C237" s="134">
        <v>1113.7</v>
      </c>
      <c r="F237" s="138"/>
      <c r="G237" s="145" t="s">
        <v>298</v>
      </c>
      <c r="H237" s="146" t="s">
        <v>299</v>
      </c>
      <c r="I237" s="142" t="s">
        <v>289</v>
      </c>
      <c r="J237" s="142" t="s">
        <v>291</v>
      </c>
      <c r="K237" s="142" t="s">
        <v>292</v>
      </c>
    </row>
    <row r="238" spans="2:11">
      <c r="B238" s="133">
        <v>42025</v>
      </c>
      <c r="C238" s="134">
        <v>594.09</v>
      </c>
      <c r="F238" s="138"/>
      <c r="G238" s="150" t="s">
        <v>300</v>
      </c>
      <c r="H238" s="150" t="s">
        <v>301</v>
      </c>
      <c r="I238" s="147">
        <v>3419</v>
      </c>
      <c r="J238" s="147">
        <v>4378</v>
      </c>
      <c r="K238" s="148">
        <v>2755</v>
      </c>
    </row>
    <row r="239" spans="2:11">
      <c r="B239" s="133">
        <v>42026</v>
      </c>
      <c r="C239" s="134">
        <v>432.67</v>
      </c>
      <c r="F239" s="138"/>
      <c r="G239" s="150" t="s">
        <v>300</v>
      </c>
      <c r="H239" s="150" t="s">
        <v>302</v>
      </c>
      <c r="I239" s="147">
        <v>1492</v>
      </c>
      <c r="J239" s="147">
        <v>2126</v>
      </c>
      <c r="K239" s="148">
        <v>2103</v>
      </c>
    </row>
    <row r="240" spans="2:11">
      <c r="B240" s="133">
        <v>42027</v>
      </c>
      <c r="C240" s="134">
        <v>874.45</v>
      </c>
      <c r="F240" s="138"/>
      <c r="G240" s="150" t="s">
        <v>300</v>
      </c>
      <c r="H240" s="150" t="s">
        <v>303</v>
      </c>
      <c r="I240" s="147">
        <v>1371</v>
      </c>
      <c r="J240" s="147">
        <v>1930</v>
      </c>
      <c r="K240" s="148">
        <v>1823</v>
      </c>
    </row>
    <row r="241" spans="2:11">
      <c r="B241" s="133">
        <v>42028</v>
      </c>
      <c r="C241" s="134">
        <v>880.38</v>
      </c>
      <c r="F241" s="138"/>
      <c r="G241" s="150" t="s">
        <v>300</v>
      </c>
      <c r="H241" s="150" t="s">
        <v>304</v>
      </c>
      <c r="I241" s="147">
        <v>1607</v>
      </c>
      <c r="J241" s="147">
        <v>2133</v>
      </c>
      <c r="K241" s="148">
        <v>2102</v>
      </c>
    </row>
    <row r="242" spans="2:11">
      <c r="B242" s="133">
        <v>42029</v>
      </c>
      <c r="C242" s="134">
        <v>798.53</v>
      </c>
      <c r="F242" s="138"/>
      <c r="G242" s="150" t="s">
        <v>300</v>
      </c>
      <c r="H242" s="150" t="s">
        <v>305</v>
      </c>
      <c r="I242" s="147">
        <v>951</v>
      </c>
      <c r="J242" s="147">
        <v>1445</v>
      </c>
      <c r="K242" s="148">
        <v>1416</v>
      </c>
    </row>
    <row r="243" spans="2:11">
      <c r="B243" s="133">
        <v>42318</v>
      </c>
      <c r="C243" s="134">
        <v>572.41999999999996</v>
      </c>
      <c r="F243" s="138"/>
      <c r="G243" s="150" t="s">
        <v>300</v>
      </c>
      <c r="H243" s="150" t="s">
        <v>306</v>
      </c>
      <c r="I243" s="147">
        <v>889</v>
      </c>
      <c r="J243" s="147">
        <v>1293</v>
      </c>
      <c r="K243" s="148">
        <v>1526</v>
      </c>
    </row>
    <row r="244" spans="2:11">
      <c r="B244" s="133">
        <v>42031</v>
      </c>
      <c r="C244" s="134">
        <v>330.61</v>
      </c>
      <c r="F244" s="138"/>
      <c r="G244" s="150" t="s">
        <v>300</v>
      </c>
      <c r="H244" s="150" t="s">
        <v>307</v>
      </c>
      <c r="I244" s="147">
        <v>1254</v>
      </c>
      <c r="J244" s="147">
        <v>1989</v>
      </c>
      <c r="K244" s="148">
        <v>1685</v>
      </c>
    </row>
    <row r="245" spans="2:11">
      <c r="B245" s="133">
        <v>42032</v>
      </c>
      <c r="C245" s="134">
        <v>567.17999999999995</v>
      </c>
      <c r="F245" s="138"/>
      <c r="G245" s="150" t="s">
        <v>300</v>
      </c>
      <c r="H245" s="150" t="s">
        <v>308</v>
      </c>
      <c r="I245" s="147">
        <v>1025</v>
      </c>
      <c r="J245" s="147">
        <v>1362</v>
      </c>
      <c r="K245" s="148">
        <v>2077</v>
      </c>
    </row>
    <row r="246" spans="2:11">
      <c r="B246" s="133">
        <v>42033</v>
      </c>
      <c r="C246" s="134">
        <v>1449.21</v>
      </c>
      <c r="F246" s="45"/>
      <c r="G246" s="150" t="s">
        <v>300</v>
      </c>
      <c r="H246" s="150" t="s">
        <v>309</v>
      </c>
      <c r="I246" s="147">
        <v>1194</v>
      </c>
      <c r="J246" s="147">
        <v>2016</v>
      </c>
      <c r="K246" s="148">
        <v>1452</v>
      </c>
    </row>
    <row r="247" spans="2:11">
      <c r="B247" s="133">
        <v>42034</v>
      </c>
      <c r="C247" s="134">
        <v>459.29</v>
      </c>
      <c r="F247" s="45"/>
      <c r="G247" s="150" t="s">
        <v>300</v>
      </c>
      <c r="H247" s="150" t="s">
        <v>310</v>
      </c>
      <c r="I247" s="147">
        <v>607</v>
      </c>
      <c r="J247" s="147">
        <v>853</v>
      </c>
      <c r="K247" s="148">
        <v>1022</v>
      </c>
    </row>
    <row r="248" spans="2:11">
      <c r="B248" s="133">
        <v>42035</v>
      </c>
      <c r="C248" s="134">
        <v>357.55</v>
      </c>
      <c r="F248" s="45"/>
      <c r="G248" s="150" t="s">
        <v>300</v>
      </c>
      <c r="H248" s="150" t="s">
        <v>311</v>
      </c>
      <c r="I248" s="147">
        <v>626</v>
      </c>
      <c r="J248" s="147">
        <v>1569</v>
      </c>
      <c r="K248" s="148">
        <v>1033</v>
      </c>
    </row>
    <row r="249" spans="2:11">
      <c r="B249" s="133">
        <v>42036</v>
      </c>
      <c r="C249" s="134">
        <v>154.34</v>
      </c>
      <c r="F249" s="45"/>
      <c r="G249" s="150" t="s">
        <v>300</v>
      </c>
      <c r="H249" s="150" t="s">
        <v>312</v>
      </c>
      <c r="I249" s="147">
        <v>1037</v>
      </c>
      <c r="J249" s="147">
        <v>2300</v>
      </c>
      <c r="K249" s="148">
        <v>1598</v>
      </c>
    </row>
    <row r="250" spans="2:11">
      <c r="B250" s="133">
        <v>42037</v>
      </c>
      <c r="C250" s="134">
        <v>152.76</v>
      </c>
      <c r="F250" s="45"/>
      <c r="G250" s="150" t="s">
        <v>300</v>
      </c>
      <c r="H250" s="150" t="s">
        <v>313</v>
      </c>
      <c r="I250" s="147">
        <v>972</v>
      </c>
      <c r="J250" s="147">
        <v>2128</v>
      </c>
      <c r="K250" s="148">
        <v>912</v>
      </c>
    </row>
    <row r="251" spans="2:11">
      <c r="B251" s="133">
        <v>42038</v>
      </c>
      <c r="C251" s="134">
        <v>570.22</v>
      </c>
      <c r="F251" s="45"/>
      <c r="G251" s="150" t="s">
        <v>300</v>
      </c>
      <c r="H251" s="150" t="s">
        <v>314</v>
      </c>
      <c r="I251" s="147">
        <v>88</v>
      </c>
      <c r="J251" s="147">
        <v>1159</v>
      </c>
      <c r="K251" s="148">
        <v>0</v>
      </c>
    </row>
    <row r="252" spans="2:11">
      <c r="B252" s="133">
        <v>42039</v>
      </c>
      <c r="C252" s="134">
        <v>987.62</v>
      </c>
      <c r="F252" s="45"/>
      <c r="G252" s="150" t="s">
        <v>300</v>
      </c>
      <c r="H252" s="150" t="s">
        <v>315</v>
      </c>
      <c r="I252" s="147">
        <v>2052</v>
      </c>
      <c r="J252" s="147">
        <v>2159</v>
      </c>
      <c r="K252" s="148">
        <v>1582</v>
      </c>
    </row>
    <row r="253" spans="2:11">
      <c r="B253" s="133">
        <v>42040</v>
      </c>
      <c r="C253" s="134">
        <v>1755.71</v>
      </c>
      <c r="F253" s="45"/>
      <c r="G253" s="150" t="s">
        <v>300</v>
      </c>
      <c r="H253" s="150" t="s">
        <v>316</v>
      </c>
      <c r="I253" s="147">
        <v>1582</v>
      </c>
      <c r="J253" s="147">
        <v>2308</v>
      </c>
      <c r="K253" s="148">
        <v>1699</v>
      </c>
    </row>
    <row r="254" spans="2:11">
      <c r="B254" s="133">
        <v>42041</v>
      </c>
      <c r="C254" s="134">
        <v>378.27</v>
      </c>
      <c r="F254" s="45"/>
      <c r="G254" s="150" t="s">
        <v>300</v>
      </c>
      <c r="H254" s="150" t="s">
        <v>317</v>
      </c>
      <c r="I254" s="147">
        <v>1088</v>
      </c>
      <c r="J254" s="147">
        <v>1218</v>
      </c>
      <c r="K254" s="148">
        <v>981</v>
      </c>
    </row>
    <row r="255" spans="2:11">
      <c r="B255" s="133">
        <v>42042</v>
      </c>
      <c r="C255" s="134">
        <v>1323.81</v>
      </c>
      <c r="F255" s="45"/>
      <c r="G255" s="150" t="s">
        <v>300</v>
      </c>
      <c r="H255" s="150" t="s">
        <v>318</v>
      </c>
      <c r="I255" s="147">
        <v>706</v>
      </c>
      <c r="J255" s="147">
        <v>1151</v>
      </c>
      <c r="K255" s="148">
        <v>1145</v>
      </c>
    </row>
    <row r="256" spans="2:11">
      <c r="B256" s="133">
        <v>42043</v>
      </c>
      <c r="C256" s="134">
        <v>399.02</v>
      </c>
      <c r="F256" s="45"/>
      <c r="G256" s="150" t="s">
        <v>300</v>
      </c>
      <c r="H256" s="150" t="s">
        <v>319</v>
      </c>
      <c r="I256" s="147">
        <v>1335</v>
      </c>
      <c r="J256" s="147">
        <v>2098</v>
      </c>
      <c r="K256" s="148">
        <v>1322</v>
      </c>
    </row>
    <row r="257" spans="2:11">
      <c r="B257" s="133">
        <v>42044</v>
      </c>
      <c r="C257" s="134">
        <v>154.94999999999999</v>
      </c>
      <c r="F257" s="45"/>
      <c r="G257" s="150" t="s">
        <v>300</v>
      </c>
      <c r="H257" s="150" t="s">
        <v>320</v>
      </c>
      <c r="I257" s="147">
        <v>702</v>
      </c>
      <c r="J257" s="147">
        <v>1162</v>
      </c>
      <c r="K257" s="148">
        <v>877</v>
      </c>
    </row>
    <row r="258" spans="2:11">
      <c r="B258" s="133">
        <v>42045</v>
      </c>
      <c r="C258" s="134">
        <v>1254.57</v>
      </c>
      <c r="F258" s="45"/>
      <c r="G258" s="150" t="s">
        <v>300</v>
      </c>
      <c r="H258" s="150" t="s">
        <v>321</v>
      </c>
      <c r="I258" s="147">
        <v>968</v>
      </c>
      <c r="J258" s="147">
        <v>1101</v>
      </c>
      <c r="K258" s="148">
        <v>797</v>
      </c>
    </row>
    <row r="259" spans="2:11">
      <c r="B259" s="133">
        <v>42046</v>
      </c>
      <c r="C259" s="134">
        <v>627.32000000000005</v>
      </c>
      <c r="F259" s="45"/>
      <c r="G259" s="150" t="s">
        <v>300</v>
      </c>
      <c r="H259" s="150" t="s">
        <v>322</v>
      </c>
      <c r="I259" s="147">
        <v>1664</v>
      </c>
      <c r="J259" s="147">
        <v>2069</v>
      </c>
      <c r="K259" s="148">
        <v>1710</v>
      </c>
    </row>
    <row r="260" spans="2:11">
      <c r="B260" s="133">
        <v>42230</v>
      </c>
      <c r="C260" s="134">
        <v>880.6</v>
      </c>
      <c r="F260" s="45"/>
      <c r="G260" s="150" t="s">
        <v>300</v>
      </c>
      <c r="H260" s="150" t="s">
        <v>323</v>
      </c>
      <c r="I260" s="147">
        <v>624</v>
      </c>
      <c r="J260" s="147">
        <v>770</v>
      </c>
      <c r="K260" s="148">
        <v>746</v>
      </c>
    </row>
    <row r="261" spans="2:11">
      <c r="B261" s="133">
        <v>42048</v>
      </c>
      <c r="C261" s="134">
        <v>1196.03</v>
      </c>
      <c r="F261" s="45"/>
      <c r="G261" s="150" t="s">
        <v>300</v>
      </c>
      <c r="H261" s="150" t="s">
        <v>324</v>
      </c>
      <c r="I261" s="147">
        <v>685</v>
      </c>
      <c r="J261" s="147">
        <v>1501</v>
      </c>
      <c r="K261" s="148">
        <v>1126</v>
      </c>
    </row>
    <row r="262" spans="2:11">
      <c r="B262" s="133">
        <v>42049</v>
      </c>
      <c r="C262" s="134">
        <v>782.32</v>
      </c>
      <c r="F262" s="45"/>
      <c r="G262" s="150" t="s">
        <v>300</v>
      </c>
      <c r="H262" s="150" t="s">
        <v>325</v>
      </c>
      <c r="I262" s="147">
        <v>1248</v>
      </c>
      <c r="J262" s="147">
        <v>1763</v>
      </c>
      <c r="K262" s="148">
        <v>1146</v>
      </c>
    </row>
    <row r="263" spans="2:11">
      <c r="B263" s="133">
        <v>42050</v>
      </c>
      <c r="C263" s="134">
        <v>1323.35</v>
      </c>
      <c r="F263" s="45"/>
      <c r="G263" s="150" t="s">
        <v>300</v>
      </c>
      <c r="H263" s="150" t="s">
        <v>326</v>
      </c>
      <c r="I263" s="147">
        <v>1342</v>
      </c>
      <c r="J263" s="147">
        <v>1559</v>
      </c>
      <c r="K263" s="148">
        <v>1307</v>
      </c>
    </row>
    <row r="264" spans="2:11">
      <c r="B264" s="133">
        <v>42051</v>
      </c>
      <c r="C264" s="134">
        <v>209.92</v>
      </c>
      <c r="F264" s="45"/>
      <c r="G264" s="150" t="s">
        <v>300</v>
      </c>
      <c r="H264" s="150" t="s">
        <v>327</v>
      </c>
      <c r="I264" s="147">
        <v>760</v>
      </c>
      <c r="J264" s="147">
        <v>965</v>
      </c>
      <c r="K264" s="148">
        <v>921</v>
      </c>
    </row>
    <row r="265" spans="2:11">
      <c r="B265" s="133">
        <v>42052</v>
      </c>
      <c r="C265" s="134">
        <v>1232.05</v>
      </c>
      <c r="F265" s="45"/>
      <c r="G265" s="150" t="s">
        <v>300</v>
      </c>
      <c r="H265" s="150" t="s">
        <v>328</v>
      </c>
      <c r="I265" s="147">
        <v>1187</v>
      </c>
      <c r="J265" s="147">
        <v>1568</v>
      </c>
      <c r="K265" s="148">
        <v>1190</v>
      </c>
    </row>
    <row r="266" spans="2:11">
      <c r="B266" s="133">
        <v>42053</v>
      </c>
      <c r="C266" s="134">
        <v>713.28</v>
      </c>
      <c r="F266" s="45"/>
      <c r="G266" s="150" t="s">
        <v>300</v>
      </c>
      <c r="H266" s="150" t="s">
        <v>329</v>
      </c>
      <c r="I266" s="147">
        <v>0</v>
      </c>
      <c r="J266" s="147">
        <v>0</v>
      </c>
      <c r="K266" s="148">
        <v>277</v>
      </c>
    </row>
    <row r="267" spans="2:11">
      <c r="B267" s="133">
        <v>42054</v>
      </c>
      <c r="C267" s="134">
        <v>1674.82</v>
      </c>
      <c r="F267" s="45"/>
      <c r="G267" s="150" t="s">
        <v>300</v>
      </c>
      <c r="H267" s="150" t="s">
        <v>330</v>
      </c>
      <c r="I267" s="147">
        <v>368</v>
      </c>
      <c r="J267" s="147">
        <v>1386</v>
      </c>
      <c r="K267" s="148">
        <v>637</v>
      </c>
    </row>
    <row r="268" spans="2:11">
      <c r="B268" s="133">
        <v>42055</v>
      </c>
      <c r="C268" s="134">
        <v>1161.25</v>
      </c>
      <c r="F268" s="45"/>
      <c r="G268" s="150" t="s">
        <v>300</v>
      </c>
      <c r="H268" s="150" t="s">
        <v>331</v>
      </c>
      <c r="I268" s="147">
        <v>317</v>
      </c>
      <c r="J268" s="147">
        <v>1215</v>
      </c>
      <c r="K268" s="148">
        <v>478</v>
      </c>
    </row>
    <row r="269" spans="2:11">
      <c r="B269" s="133">
        <v>42056</v>
      </c>
      <c r="C269" s="134">
        <v>897.63</v>
      </c>
      <c r="F269" s="45"/>
      <c r="G269" s="150" t="s">
        <v>300</v>
      </c>
      <c r="H269" s="150" t="s">
        <v>332</v>
      </c>
      <c r="I269" s="147">
        <v>689</v>
      </c>
      <c r="J269" s="147">
        <v>2544</v>
      </c>
      <c r="K269" s="148">
        <v>1009</v>
      </c>
    </row>
    <row r="270" spans="2:11">
      <c r="B270" s="133">
        <v>42057</v>
      </c>
      <c r="C270" s="134">
        <v>1647.26</v>
      </c>
      <c r="F270" s="45"/>
      <c r="G270" s="150" t="s">
        <v>300</v>
      </c>
      <c r="H270" s="150" t="s">
        <v>333</v>
      </c>
      <c r="I270" s="147">
        <v>510</v>
      </c>
      <c r="J270" s="147">
        <v>2583</v>
      </c>
      <c r="K270" s="148">
        <v>861</v>
      </c>
    </row>
    <row r="271" spans="2:11">
      <c r="B271" s="133">
        <v>42058</v>
      </c>
      <c r="C271" s="134">
        <v>1121.96</v>
      </c>
      <c r="F271" s="45"/>
      <c r="G271" s="150" t="s">
        <v>300</v>
      </c>
      <c r="H271" s="150" t="s">
        <v>334</v>
      </c>
      <c r="I271" s="147">
        <v>257</v>
      </c>
      <c r="J271" s="147">
        <v>1023</v>
      </c>
      <c r="K271" s="148">
        <v>446</v>
      </c>
    </row>
    <row r="272" spans="2:11">
      <c r="B272" s="133">
        <v>42059</v>
      </c>
      <c r="C272" s="134">
        <v>352.2</v>
      </c>
      <c r="F272" s="45"/>
      <c r="G272" s="150" t="s">
        <v>300</v>
      </c>
      <c r="H272" s="150" t="s">
        <v>335</v>
      </c>
      <c r="I272" s="147">
        <v>335</v>
      </c>
      <c r="J272" s="147">
        <v>1225</v>
      </c>
      <c r="K272" s="148">
        <v>520</v>
      </c>
    </row>
    <row r="273" spans="2:11">
      <c r="B273" s="133">
        <v>42060</v>
      </c>
      <c r="C273" s="134">
        <v>270.77999999999997</v>
      </c>
      <c r="F273" s="45"/>
      <c r="G273" s="150" t="s">
        <v>300</v>
      </c>
      <c r="H273" s="150" t="s">
        <v>336</v>
      </c>
      <c r="I273" s="147">
        <v>264</v>
      </c>
      <c r="J273" s="147">
        <v>957</v>
      </c>
      <c r="K273" s="148">
        <v>405</v>
      </c>
    </row>
    <row r="274" spans="2:11">
      <c r="B274" s="133">
        <v>42061</v>
      </c>
      <c r="C274" s="134">
        <v>456.41</v>
      </c>
      <c r="F274" s="45"/>
      <c r="G274" s="150" t="s">
        <v>300</v>
      </c>
      <c r="H274" s="150" t="s">
        <v>337</v>
      </c>
      <c r="I274" s="147">
        <v>285</v>
      </c>
      <c r="J274" s="147">
        <v>869</v>
      </c>
      <c r="K274" s="148">
        <v>434</v>
      </c>
    </row>
    <row r="275" spans="2:11">
      <c r="B275" s="133">
        <v>42062</v>
      </c>
      <c r="C275" s="134">
        <v>441</v>
      </c>
      <c r="F275" s="45"/>
      <c r="G275" s="150" t="s">
        <v>300</v>
      </c>
      <c r="H275" s="150" t="s">
        <v>338</v>
      </c>
      <c r="I275" s="147">
        <v>550</v>
      </c>
      <c r="J275" s="147">
        <v>2502</v>
      </c>
      <c r="K275" s="148">
        <v>822</v>
      </c>
    </row>
    <row r="276" spans="2:11">
      <c r="B276" s="133">
        <v>42063</v>
      </c>
      <c r="C276" s="134">
        <v>252.44</v>
      </c>
      <c r="F276" s="45"/>
      <c r="G276" s="150" t="s">
        <v>300</v>
      </c>
      <c r="H276" s="150" t="s">
        <v>339</v>
      </c>
      <c r="I276" s="147">
        <v>266</v>
      </c>
      <c r="J276" s="147">
        <v>1382</v>
      </c>
      <c r="K276" s="148">
        <v>501</v>
      </c>
    </row>
    <row r="277" spans="2:11">
      <c r="B277" s="133">
        <v>42064</v>
      </c>
      <c r="C277" s="134">
        <v>1298.92</v>
      </c>
      <c r="F277" s="45"/>
      <c r="G277" s="150" t="s">
        <v>300</v>
      </c>
      <c r="H277" s="150" t="s">
        <v>340</v>
      </c>
      <c r="I277" s="147">
        <v>598</v>
      </c>
      <c r="J277" s="147">
        <v>2107</v>
      </c>
      <c r="K277" s="148">
        <v>1002</v>
      </c>
    </row>
    <row r="278" spans="2:11">
      <c r="B278" s="133">
        <v>42065</v>
      </c>
      <c r="C278" s="134">
        <v>1178.07</v>
      </c>
      <c r="F278" s="45"/>
      <c r="G278" s="150" t="s">
        <v>300</v>
      </c>
      <c r="H278" s="150" t="s">
        <v>341</v>
      </c>
      <c r="I278" s="147">
        <v>344</v>
      </c>
      <c r="J278" s="147">
        <v>1641</v>
      </c>
      <c r="K278" s="148">
        <v>765</v>
      </c>
    </row>
    <row r="279" spans="2:11">
      <c r="B279" s="133">
        <v>42066</v>
      </c>
      <c r="C279" s="134">
        <v>459.95</v>
      </c>
      <c r="F279" s="45"/>
      <c r="G279" s="150" t="s">
        <v>300</v>
      </c>
      <c r="H279" s="150" t="s">
        <v>342</v>
      </c>
      <c r="I279" s="147">
        <v>183</v>
      </c>
      <c r="J279" s="147">
        <v>867</v>
      </c>
      <c r="K279" s="148">
        <v>384</v>
      </c>
    </row>
    <row r="280" spans="2:11">
      <c r="B280" s="133">
        <v>42067</v>
      </c>
      <c r="C280" s="134">
        <v>1219.7</v>
      </c>
      <c r="F280" s="45"/>
      <c r="G280" s="150" t="s">
        <v>300</v>
      </c>
      <c r="H280" s="150" t="s">
        <v>343</v>
      </c>
      <c r="I280" s="147">
        <v>302</v>
      </c>
      <c r="J280" s="147">
        <v>1326</v>
      </c>
      <c r="K280" s="148">
        <v>586</v>
      </c>
    </row>
    <row r="281" spans="2:11">
      <c r="B281" s="133">
        <v>42068</v>
      </c>
      <c r="C281" s="134">
        <v>152.24</v>
      </c>
      <c r="F281" s="45"/>
      <c r="G281" s="150" t="s">
        <v>300</v>
      </c>
      <c r="H281" s="150" t="s">
        <v>344</v>
      </c>
      <c r="I281" s="147">
        <v>177</v>
      </c>
      <c r="J281" s="147">
        <v>823</v>
      </c>
      <c r="K281" s="148">
        <v>548</v>
      </c>
    </row>
    <row r="282" spans="2:11">
      <c r="B282" s="133">
        <v>42069</v>
      </c>
      <c r="C282" s="134">
        <v>770.8</v>
      </c>
      <c r="F282" s="45"/>
      <c r="G282" s="150" t="s">
        <v>300</v>
      </c>
      <c r="H282" s="150" t="s">
        <v>345</v>
      </c>
      <c r="I282" s="147">
        <v>285</v>
      </c>
      <c r="J282" s="147">
        <v>1249</v>
      </c>
      <c r="K282" s="148">
        <v>533</v>
      </c>
    </row>
    <row r="283" spans="2:11">
      <c r="B283" s="133">
        <v>42070</v>
      </c>
      <c r="C283" s="134">
        <v>1357.25</v>
      </c>
      <c r="F283" s="45"/>
      <c r="G283" s="150" t="s">
        <v>300</v>
      </c>
      <c r="H283" s="150" t="s">
        <v>346</v>
      </c>
      <c r="I283" s="147">
        <v>236</v>
      </c>
      <c r="J283" s="147">
        <v>1162</v>
      </c>
      <c r="K283" s="148">
        <v>402</v>
      </c>
    </row>
    <row r="284" spans="2:11">
      <c r="B284" s="133">
        <v>42187</v>
      </c>
      <c r="C284" s="134">
        <v>220.18</v>
      </c>
      <c r="F284" s="45"/>
      <c r="G284" s="150" t="s">
        <v>300</v>
      </c>
      <c r="H284" s="150" t="s">
        <v>347</v>
      </c>
      <c r="I284" s="147">
        <v>293</v>
      </c>
      <c r="J284" s="147">
        <v>1016</v>
      </c>
      <c r="K284" s="148">
        <v>585</v>
      </c>
    </row>
    <row r="285" spans="2:11">
      <c r="B285" s="133">
        <v>42072</v>
      </c>
      <c r="C285" s="134">
        <v>1102.81</v>
      </c>
      <c r="F285" s="45"/>
      <c r="G285" s="150" t="s">
        <v>300</v>
      </c>
      <c r="H285" s="150" t="s">
        <v>348</v>
      </c>
      <c r="I285" s="147">
        <v>242</v>
      </c>
      <c r="J285" s="147">
        <v>1363</v>
      </c>
      <c r="K285" s="148">
        <v>428</v>
      </c>
    </row>
    <row r="286" spans="2:11">
      <c r="B286" s="133">
        <v>42073</v>
      </c>
      <c r="C286" s="134">
        <v>1566.83</v>
      </c>
      <c r="F286" s="45"/>
      <c r="G286" s="150" t="s">
        <v>300</v>
      </c>
      <c r="H286" s="150" t="s">
        <v>349</v>
      </c>
      <c r="I286" s="147">
        <v>248</v>
      </c>
      <c r="J286" s="147">
        <v>1398</v>
      </c>
      <c r="K286" s="148">
        <v>476</v>
      </c>
    </row>
    <row r="287" spans="2:11">
      <c r="B287" s="133">
        <v>42074</v>
      </c>
      <c r="C287" s="134">
        <v>437.92</v>
      </c>
      <c r="F287" s="45"/>
      <c r="G287" s="150" t="s">
        <v>300</v>
      </c>
      <c r="H287" s="150" t="s">
        <v>350</v>
      </c>
      <c r="I287" s="147">
        <v>292</v>
      </c>
      <c r="J287" s="147">
        <v>1380</v>
      </c>
      <c r="K287" s="148">
        <v>456</v>
      </c>
    </row>
    <row r="288" spans="2:11">
      <c r="B288" s="133">
        <v>42075</v>
      </c>
      <c r="C288" s="134">
        <v>1216.1199999999999</v>
      </c>
      <c r="F288" s="45"/>
      <c r="G288" s="150" t="s">
        <v>300</v>
      </c>
      <c r="H288" s="150" t="s">
        <v>351</v>
      </c>
      <c r="I288" s="147">
        <v>196</v>
      </c>
      <c r="J288" s="147">
        <v>1238</v>
      </c>
      <c r="K288" s="148">
        <v>493</v>
      </c>
    </row>
    <row r="289" spans="2:11">
      <c r="B289" s="133">
        <v>42076</v>
      </c>
      <c r="C289" s="134">
        <v>273.10000000000002</v>
      </c>
      <c r="F289" s="45"/>
      <c r="G289" s="150" t="s">
        <v>300</v>
      </c>
      <c r="H289" s="150" t="s">
        <v>352</v>
      </c>
      <c r="I289" s="147">
        <v>432</v>
      </c>
      <c r="J289" s="147">
        <v>1216</v>
      </c>
      <c r="K289" s="148">
        <v>552</v>
      </c>
    </row>
    <row r="290" spans="2:11">
      <c r="B290" s="133">
        <v>42077</v>
      </c>
      <c r="C290" s="134">
        <v>242.26</v>
      </c>
      <c r="F290" s="45"/>
      <c r="G290" s="150" t="s">
        <v>300</v>
      </c>
      <c r="H290" s="150" t="s">
        <v>353</v>
      </c>
      <c r="I290" s="147">
        <v>420</v>
      </c>
      <c r="J290" s="147">
        <v>1581</v>
      </c>
      <c r="K290" s="148">
        <v>525</v>
      </c>
    </row>
    <row r="291" spans="2:11">
      <c r="B291" s="133">
        <v>42078</v>
      </c>
      <c r="C291" s="134">
        <v>1512.6</v>
      </c>
      <c r="F291" s="45"/>
      <c r="G291" s="150" t="s">
        <v>300</v>
      </c>
      <c r="H291" s="150" t="s">
        <v>354</v>
      </c>
      <c r="I291" s="147">
        <v>398</v>
      </c>
      <c r="J291" s="147">
        <v>1759</v>
      </c>
      <c r="K291" s="148">
        <v>682</v>
      </c>
    </row>
    <row r="292" spans="2:11">
      <c r="B292" s="133">
        <v>42079</v>
      </c>
      <c r="C292" s="134">
        <v>783.75</v>
      </c>
      <c r="F292" s="45"/>
      <c r="G292" s="150" t="s">
        <v>300</v>
      </c>
      <c r="H292" s="150" t="s">
        <v>355</v>
      </c>
      <c r="I292" s="147">
        <v>128</v>
      </c>
      <c r="J292" s="147">
        <v>791</v>
      </c>
      <c r="K292" s="148">
        <v>242</v>
      </c>
    </row>
    <row r="293" spans="2:11">
      <c r="B293" s="133">
        <v>42189</v>
      </c>
      <c r="C293" s="134">
        <v>667.99</v>
      </c>
      <c r="F293" s="45"/>
      <c r="G293" s="150" t="s">
        <v>300</v>
      </c>
      <c r="H293" s="150" t="s">
        <v>356</v>
      </c>
      <c r="I293" s="147">
        <v>225</v>
      </c>
      <c r="J293" s="147">
        <v>935</v>
      </c>
      <c r="K293" s="148">
        <v>432</v>
      </c>
    </row>
    <row r="294" spans="2:11">
      <c r="B294" s="133">
        <v>42081</v>
      </c>
      <c r="C294" s="134">
        <v>1166.31</v>
      </c>
      <c r="F294" s="45"/>
      <c r="G294" s="150" t="s">
        <v>300</v>
      </c>
      <c r="H294" s="150" t="s">
        <v>357</v>
      </c>
      <c r="I294" s="147">
        <v>1358</v>
      </c>
      <c r="J294" s="147">
        <v>2231</v>
      </c>
      <c r="K294" s="148">
        <v>1391</v>
      </c>
    </row>
    <row r="295" spans="2:11">
      <c r="B295" s="133">
        <v>42082</v>
      </c>
      <c r="C295" s="134">
        <v>770.18</v>
      </c>
      <c r="F295" s="45"/>
      <c r="G295" s="150" t="s">
        <v>300</v>
      </c>
      <c r="H295" s="150" t="s">
        <v>358</v>
      </c>
      <c r="I295" s="147">
        <v>1345</v>
      </c>
      <c r="J295" s="147">
        <v>1791</v>
      </c>
      <c r="K295" s="148">
        <v>1460</v>
      </c>
    </row>
    <row r="296" spans="2:11">
      <c r="B296" s="133">
        <v>42083</v>
      </c>
      <c r="C296" s="134">
        <v>132.34</v>
      </c>
      <c r="F296" s="45"/>
      <c r="G296" s="150" t="s">
        <v>300</v>
      </c>
      <c r="H296" s="150" t="s">
        <v>359</v>
      </c>
      <c r="I296" s="147">
        <v>769</v>
      </c>
      <c r="J296" s="147">
        <v>1948</v>
      </c>
      <c r="K296" s="148">
        <v>1011</v>
      </c>
    </row>
    <row r="297" spans="2:11">
      <c r="B297" s="133">
        <v>42084</v>
      </c>
      <c r="C297" s="134">
        <v>1188.81</v>
      </c>
      <c r="F297" s="45"/>
      <c r="G297" s="150" t="s">
        <v>300</v>
      </c>
      <c r="H297" s="150" t="s">
        <v>360</v>
      </c>
      <c r="I297" s="147">
        <v>560</v>
      </c>
      <c r="J297" s="147">
        <v>1835</v>
      </c>
      <c r="K297" s="148">
        <v>642</v>
      </c>
    </row>
    <row r="298" spans="2:11">
      <c r="B298" s="133">
        <v>42085</v>
      </c>
      <c r="C298" s="134">
        <v>198.06</v>
      </c>
      <c r="F298" s="45"/>
      <c r="G298" s="150" t="s">
        <v>300</v>
      </c>
      <c r="H298" s="150" t="s">
        <v>361</v>
      </c>
      <c r="I298" s="147">
        <v>836</v>
      </c>
      <c r="J298" s="147">
        <v>2245</v>
      </c>
      <c r="K298" s="148">
        <v>861</v>
      </c>
    </row>
    <row r="299" spans="2:11">
      <c r="B299" s="133">
        <v>42086</v>
      </c>
      <c r="C299" s="134">
        <v>594.16999999999996</v>
      </c>
      <c r="F299" s="45"/>
      <c r="G299" s="150" t="s">
        <v>300</v>
      </c>
      <c r="H299" s="150" t="s">
        <v>362</v>
      </c>
      <c r="I299" s="147">
        <v>587</v>
      </c>
      <c r="J299" s="147">
        <v>1471</v>
      </c>
      <c r="K299" s="148">
        <v>623</v>
      </c>
    </row>
    <row r="300" spans="2:11">
      <c r="B300" s="133">
        <v>42087</v>
      </c>
      <c r="C300" s="134">
        <v>931.09</v>
      </c>
      <c r="F300" s="45"/>
      <c r="G300" s="150" t="s">
        <v>300</v>
      </c>
      <c r="H300" s="150" t="s">
        <v>363</v>
      </c>
      <c r="I300" s="147">
        <v>774</v>
      </c>
      <c r="J300" s="147">
        <v>1403</v>
      </c>
      <c r="K300" s="148">
        <v>1085</v>
      </c>
    </row>
    <row r="301" spans="2:11">
      <c r="B301" s="133">
        <v>42088</v>
      </c>
      <c r="C301" s="134">
        <v>299.64</v>
      </c>
      <c r="F301" s="45"/>
      <c r="G301" s="150" t="s">
        <v>300</v>
      </c>
      <c r="H301" s="150" t="s">
        <v>364</v>
      </c>
      <c r="I301" s="147">
        <v>757</v>
      </c>
      <c r="J301" s="147">
        <v>1203</v>
      </c>
      <c r="K301" s="148">
        <v>1175</v>
      </c>
    </row>
    <row r="302" spans="2:11">
      <c r="B302" s="133">
        <v>42223</v>
      </c>
      <c r="C302" s="134">
        <v>1701.68</v>
      </c>
      <c r="F302" s="45"/>
      <c r="G302" s="150" t="s">
        <v>300</v>
      </c>
      <c r="H302" s="150" t="s">
        <v>365</v>
      </c>
      <c r="I302" s="147">
        <v>591</v>
      </c>
      <c r="J302" s="147">
        <v>1439</v>
      </c>
      <c r="K302" s="148">
        <v>858</v>
      </c>
    </row>
    <row r="303" spans="2:11">
      <c r="B303" s="133">
        <v>42090</v>
      </c>
      <c r="C303" s="134">
        <v>399.15</v>
      </c>
      <c r="F303" s="45"/>
      <c r="G303" s="150" t="s">
        <v>300</v>
      </c>
      <c r="H303" s="150" t="s">
        <v>366</v>
      </c>
      <c r="I303" s="147">
        <v>457</v>
      </c>
      <c r="J303" s="147">
        <v>1161</v>
      </c>
      <c r="K303" s="148">
        <v>594</v>
      </c>
    </row>
    <row r="304" spans="2:11">
      <c r="B304" s="133">
        <v>42091</v>
      </c>
      <c r="C304" s="134">
        <v>374.81</v>
      </c>
      <c r="F304" s="45"/>
      <c r="G304" s="150" t="s">
        <v>300</v>
      </c>
      <c r="H304" s="150" t="s">
        <v>367</v>
      </c>
      <c r="I304" s="147">
        <v>494</v>
      </c>
      <c r="J304" s="147">
        <v>1585</v>
      </c>
      <c r="K304" s="148">
        <v>705</v>
      </c>
    </row>
    <row r="305" spans="1:11">
      <c r="B305" s="133">
        <v>42092</v>
      </c>
      <c r="C305" s="134">
        <v>462.17</v>
      </c>
      <c r="F305" s="45"/>
      <c r="G305" s="150" t="s">
        <v>300</v>
      </c>
      <c r="H305" s="150" t="s">
        <v>368</v>
      </c>
      <c r="I305" s="147">
        <v>914</v>
      </c>
      <c r="J305" s="147">
        <v>1727</v>
      </c>
      <c r="K305" s="148">
        <v>1308</v>
      </c>
    </row>
    <row r="306" spans="1:11">
      <c r="B306" s="133">
        <v>42093</v>
      </c>
      <c r="C306" s="134">
        <v>924.29</v>
      </c>
      <c r="F306" s="45"/>
      <c r="G306" s="150" t="s">
        <v>300</v>
      </c>
      <c r="H306" s="150" t="s">
        <v>369</v>
      </c>
      <c r="I306" s="147">
        <v>581</v>
      </c>
      <c r="J306" s="147">
        <v>1448</v>
      </c>
      <c r="K306" s="148">
        <v>885</v>
      </c>
    </row>
    <row r="307" spans="1:11">
      <c r="B307" s="133">
        <v>42094</v>
      </c>
      <c r="C307" s="134">
        <v>5000.6000000000004</v>
      </c>
      <c r="F307" s="45"/>
      <c r="G307" s="150" t="s">
        <v>300</v>
      </c>
      <c r="H307" s="150" t="s">
        <v>370</v>
      </c>
      <c r="I307" s="147">
        <v>31</v>
      </c>
      <c r="J307" s="147">
        <v>0</v>
      </c>
      <c r="K307" s="148">
        <v>78</v>
      </c>
    </row>
    <row r="308" spans="1:11">
      <c r="B308" s="135"/>
      <c r="C308" s="136">
        <f>SUM(C218:C307)</f>
        <v>72741.76999999996</v>
      </c>
      <c r="D308" s="137" t="s">
        <v>280</v>
      </c>
      <c r="F308" s="45"/>
      <c r="G308" s="150" t="s">
        <v>300</v>
      </c>
      <c r="H308" s="150" t="s">
        <v>371</v>
      </c>
      <c r="I308" s="147">
        <v>92</v>
      </c>
      <c r="J308" s="147">
        <v>233</v>
      </c>
      <c r="K308" s="148">
        <v>494</v>
      </c>
    </row>
    <row r="309" spans="1:11">
      <c r="F309" s="45"/>
      <c r="G309" s="150" t="s">
        <v>300</v>
      </c>
      <c r="H309" s="150" t="s">
        <v>372</v>
      </c>
      <c r="I309" s="147">
        <v>486</v>
      </c>
      <c r="J309" s="147">
        <v>1176</v>
      </c>
      <c r="K309" s="148">
        <v>400</v>
      </c>
    </row>
    <row r="310" spans="1:11">
      <c r="F310" s="45"/>
      <c r="G310" s="150" t="s">
        <v>300</v>
      </c>
      <c r="H310" s="150" t="s">
        <v>373</v>
      </c>
      <c r="I310" s="147">
        <v>440</v>
      </c>
      <c r="J310" s="147">
        <v>874</v>
      </c>
      <c r="K310" s="148">
        <v>803</v>
      </c>
    </row>
    <row r="311" spans="1:11" ht="23.25">
      <c r="A311" s="13" t="s">
        <v>459</v>
      </c>
      <c r="F311" s="45"/>
      <c r="G311" s="150" t="s">
        <v>300</v>
      </c>
      <c r="H311" s="150" t="s">
        <v>374</v>
      </c>
      <c r="I311" s="147">
        <v>127</v>
      </c>
      <c r="J311" s="147">
        <v>695</v>
      </c>
      <c r="K311" s="148">
        <v>440</v>
      </c>
    </row>
    <row r="312" spans="1:11">
      <c r="B312" s="156" t="s">
        <v>460</v>
      </c>
      <c r="C312" s="156" t="s">
        <v>461</v>
      </c>
      <c r="D312" s="156" t="s">
        <v>462</v>
      </c>
      <c r="E312" s="156" t="s">
        <v>463</v>
      </c>
      <c r="F312" s="45"/>
      <c r="G312" s="150" t="s">
        <v>300</v>
      </c>
      <c r="H312" s="150" t="s">
        <v>375</v>
      </c>
      <c r="I312" s="147">
        <v>257</v>
      </c>
      <c r="J312" s="147">
        <v>1367</v>
      </c>
      <c r="K312" s="148">
        <v>544</v>
      </c>
    </row>
    <row r="313" spans="1:11">
      <c r="A313" s="45"/>
      <c r="B313" s="157">
        <v>1</v>
      </c>
      <c r="C313" s="158">
        <v>8000</v>
      </c>
      <c r="D313" s="157" t="s">
        <v>464</v>
      </c>
      <c r="E313" s="157">
        <v>10</v>
      </c>
      <c r="F313" s="45"/>
      <c r="G313" s="150" t="s">
        <v>300</v>
      </c>
      <c r="H313" s="150" t="s">
        <v>376</v>
      </c>
      <c r="I313" s="147">
        <v>399</v>
      </c>
      <c r="J313" s="147">
        <v>1238</v>
      </c>
      <c r="K313" s="148">
        <v>622</v>
      </c>
    </row>
    <row r="314" spans="1:11">
      <c r="A314" s="45"/>
      <c r="B314" s="157">
        <v>2</v>
      </c>
      <c r="C314" s="158">
        <v>11000</v>
      </c>
      <c r="D314" s="157" t="s">
        <v>464</v>
      </c>
      <c r="E314" s="157">
        <v>9</v>
      </c>
      <c r="F314" s="45"/>
      <c r="G314" s="150" t="s">
        <v>300</v>
      </c>
      <c r="H314" s="150" t="s">
        <v>377</v>
      </c>
      <c r="I314" s="147">
        <v>470</v>
      </c>
      <c r="J314" s="147">
        <v>1609</v>
      </c>
      <c r="K314" s="148">
        <v>662</v>
      </c>
    </row>
    <row r="315" spans="1:11">
      <c r="A315" s="45"/>
      <c r="B315" s="157">
        <v>3</v>
      </c>
      <c r="C315" s="158">
        <v>6000</v>
      </c>
      <c r="D315" s="157" t="s">
        <v>465</v>
      </c>
      <c r="E315" s="157">
        <v>5</v>
      </c>
      <c r="F315" s="45"/>
      <c r="G315" s="150" t="s">
        <v>300</v>
      </c>
      <c r="H315" s="150" t="s">
        <v>378</v>
      </c>
      <c r="I315" s="147">
        <v>651</v>
      </c>
      <c r="J315" s="147">
        <v>2120</v>
      </c>
      <c r="K315" s="148">
        <v>824</v>
      </c>
    </row>
    <row r="316" spans="1:11">
      <c r="A316" s="45"/>
      <c r="B316" s="157">
        <v>4</v>
      </c>
      <c r="C316" s="158">
        <v>15000</v>
      </c>
      <c r="D316" s="157" t="s">
        <v>464</v>
      </c>
      <c r="E316" s="157">
        <v>10</v>
      </c>
      <c r="F316" s="45"/>
      <c r="G316" s="150" t="s">
        <v>300</v>
      </c>
      <c r="H316" s="150" t="s">
        <v>379</v>
      </c>
      <c r="I316" s="147">
        <v>757</v>
      </c>
      <c r="J316" s="147">
        <v>2498</v>
      </c>
      <c r="K316" s="148">
        <v>846</v>
      </c>
    </row>
    <row r="317" spans="1:11">
      <c r="A317" s="45"/>
      <c r="B317" s="157">
        <v>5</v>
      </c>
      <c r="C317" s="158">
        <v>10000</v>
      </c>
      <c r="D317" s="157" t="s">
        <v>465</v>
      </c>
      <c r="E317" s="157">
        <v>2</v>
      </c>
      <c r="F317" s="45"/>
      <c r="G317" s="150" t="s">
        <v>300</v>
      </c>
      <c r="H317" s="150" t="s">
        <v>380</v>
      </c>
      <c r="I317" s="147">
        <v>526</v>
      </c>
      <c r="J317" s="147">
        <v>1902</v>
      </c>
      <c r="K317" s="148">
        <v>743</v>
      </c>
    </row>
    <row r="318" spans="1:11">
      <c r="A318" s="45"/>
      <c r="B318" s="157">
        <v>6</v>
      </c>
      <c r="C318" s="158">
        <v>15000</v>
      </c>
      <c r="D318" s="157" t="s">
        <v>464</v>
      </c>
      <c r="E318" s="157">
        <v>5</v>
      </c>
      <c r="F318" s="45"/>
      <c r="G318" s="150" t="s">
        <v>300</v>
      </c>
      <c r="H318" s="150" t="s">
        <v>381</v>
      </c>
      <c r="I318" s="147">
        <v>196</v>
      </c>
      <c r="J318" s="147">
        <v>994</v>
      </c>
      <c r="K318" s="148">
        <v>477</v>
      </c>
    </row>
    <row r="319" spans="1:11">
      <c r="A319" s="45"/>
      <c r="B319" s="157">
        <v>7</v>
      </c>
      <c r="C319" s="158">
        <v>13000</v>
      </c>
      <c r="D319" s="157" t="s">
        <v>464</v>
      </c>
      <c r="E319" s="157">
        <v>999</v>
      </c>
      <c r="F319" s="45"/>
      <c r="G319" s="150" t="s">
        <v>300</v>
      </c>
      <c r="H319" s="150" t="s">
        <v>382</v>
      </c>
      <c r="I319" s="147">
        <v>260</v>
      </c>
      <c r="J319" s="147">
        <v>1010</v>
      </c>
      <c r="K319" s="148">
        <v>575</v>
      </c>
    </row>
    <row r="320" spans="1:11">
      <c r="A320" s="45"/>
      <c r="B320" s="157">
        <v>8</v>
      </c>
      <c r="C320" s="158">
        <v>8000</v>
      </c>
      <c r="D320" s="157" t="s">
        <v>464</v>
      </c>
      <c r="E320" s="157">
        <v>2</v>
      </c>
      <c r="F320" s="45"/>
      <c r="G320" s="150" t="s">
        <v>300</v>
      </c>
      <c r="H320" s="150" t="s">
        <v>383</v>
      </c>
      <c r="I320" s="147">
        <v>192</v>
      </c>
      <c r="J320" s="147">
        <v>899</v>
      </c>
      <c r="K320" s="148">
        <v>369</v>
      </c>
    </row>
    <row r="321" spans="1:11">
      <c r="B321" s="157">
        <v>9</v>
      </c>
      <c r="C321" s="158">
        <v>11000</v>
      </c>
      <c r="D321" s="157" t="s">
        <v>465</v>
      </c>
      <c r="E321" s="157">
        <v>5</v>
      </c>
      <c r="F321" s="45"/>
      <c r="G321" s="150" t="s">
        <v>300</v>
      </c>
      <c r="H321" s="150" t="s">
        <v>384</v>
      </c>
      <c r="I321" s="147">
        <v>177</v>
      </c>
      <c r="J321" s="147">
        <v>284</v>
      </c>
      <c r="K321" s="148">
        <v>174</v>
      </c>
    </row>
    <row r="322" spans="1:11">
      <c r="B322" s="157">
        <v>10</v>
      </c>
      <c r="C322" s="158">
        <v>9000</v>
      </c>
      <c r="D322" s="157" t="s">
        <v>464</v>
      </c>
      <c r="E322" s="157">
        <v>6</v>
      </c>
      <c r="F322" s="45"/>
      <c r="G322" s="150" t="s">
        <v>300</v>
      </c>
      <c r="H322" s="150" t="s">
        <v>385</v>
      </c>
      <c r="I322" s="147">
        <v>741</v>
      </c>
      <c r="J322" s="147">
        <v>1781</v>
      </c>
      <c r="K322" s="148">
        <v>1028</v>
      </c>
    </row>
    <row r="323" spans="1:11">
      <c r="F323" s="45"/>
      <c r="G323" s="150" t="s">
        <v>300</v>
      </c>
      <c r="H323" s="150" t="s">
        <v>386</v>
      </c>
      <c r="I323" s="147">
        <v>174</v>
      </c>
      <c r="J323" s="147">
        <v>773</v>
      </c>
      <c r="K323" s="148">
        <v>237</v>
      </c>
    </row>
    <row r="324" spans="1:11" ht="15.75" thickBot="1">
      <c r="A324" s="160"/>
      <c r="B324" s="161" t="s">
        <v>466</v>
      </c>
      <c r="C324" s="160"/>
      <c r="D324" s="160"/>
      <c r="E324" s="160"/>
      <c r="F324" s="160"/>
      <c r="G324" s="150" t="s">
        <v>300</v>
      </c>
      <c r="H324" s="150" t="s">
        <v>387</v>
      </c>
      <c r="I324" s="147">
        <v>94</v>
      </c>
      <c r="J324" s="147">
        <v>769</v>
      </c>
      <c r="K324" s="148">
        <v>228</v>
      </c>
    </row>
    <row r="325" spans="1:11" ht="15.75" thickBot="1">
      <c r="A325" s="160">
        <v>1</v>
      </c>
      <c r="B325" s="160" t="s">
        <v>467</v>
      </c>
      <c r="C325" s="160"/>
      <c r="D325" s="162">
        <f>SUMIF(D313:D322,"Yes",C313:C322)</f>
        <v>79000</v>
      </c>
      <c r="E325" s="160"/>
      <c r="F325" s="160"/>
      <c r="G325" s="150" t="s">
        <v>300</v>
      </c>
      <c r="H325" s="150" t="s">
        <v>388</v>
      </c>
      <c r="I325" s="147">
        <v>197</v>
      </c>
      <c r="J325" s="147">
        <v>837</v>
      </c>
      <c r="K325" s="148">
        <v>434</v>
      </c>
    </row>
    <row r="326" spans="1:11" ht="15.75" thickBot="1">
      <c r="A326" s="160">
        <v>2</v>
      </c>
      <c r="B326" s="160" t="s">
        <v>468</v>
      </c>
      <c r="C326" s="160"/>
      <c r="D326" s="162">
        <f>SUMIF(D313:D322,"No",C313:C322)</f>
        <v>27000</v>
      </c>
      <c r="E326" s="160"/>
      <c r="F326" s="160"/>
      <c r="G326" s="150" t="s">
        <v>300</v>
      </c>
      <c r="H326" s="150" t="s">
        <v>389</v>
      </c>
      <c r="I326" s="147">
        <v>318</v>
      </c>
      <c r="J326" s="147">
        <v>1120</v>
      </c>
      <c r="K326" s="148">
        <v>444</v>
      </c>
    </row>
    <row r="327" spans="1:11" ht="15.75" thickBot="1">
      <c r="A327" s="160">
        <v>3</v>
      </c>
      <c r="B327" s="160" t="s">
        <v>469</v>
      </c>
      <c r="C327" s="160"/>
      <c r="D327" s="162"/>
      <c r="E327" s="160"/>
      <c r="F327" s="160"/>
      <c r="G327" s="155" t="s">
        <v>300</v>
      </c>
      <c r="H327" s="150" t="s">
        <v>390</v>
      </c>
      <c r="I327" s="147">
        <v>82</v>
      </c>
      <c r="J327" s="147">
        <v>723</v>
      </c>
      <c r="K327" s="148">
        <v>204</v>
      </c>
    </row>
    <row r="328" spans="1:11" ht="15.75" thickBot="1">
      <c r="A328" s="160">
        <v>4</v>
      </c>
      <c r="B328" s="160" t="s">
        <v>470</v>
      </c>
      <c r="C328" s="160"/>
      <c r="D328" s="162"/>
      <c r="E328" s="160"/>
      <c r="F328" s="160"/>
      <c r="G328" s="150" t="s">
        <v>300</v>
      </c>
      <c r="H328" s="150" t="s">
        <v>391</v>
      </c>
      <c r="I328" s="147">
        <v>206</v>
      </c>
      <c r="J328" s="147">
        <v>550</v>
      </c>
      <c r="K328" s="148">
        <v>229</v>
      </c>
    </row>
    <row r="329" spans="1:11" ht="15.75" thickBot="1">
      <c r="A329" s="160">
        <v>5</v>
      </c>
      <c r="B329" s="160" t="s">
        <v>471</v>
      </c>
      <c r="C329" s="160"/>
      <c r="D329" s="162"/>
      <c r="E329" s="160"/>
      <c r="F329" s="160"/>
      <c r="G329" s="150" t="s">
        <v>300</v>
      </c>
      <c r="H329" s="150" t="s">
        <v>392</v>
      </c>
      <c r="I329" s="147">
        <v>390</v>
      </c>
      <c r="J329" s="147">
        <v>1297</v>
      </c>
      <c r="K329" s="148">
        <v>456</v>
      </c>
    </row>
    <row r="330" spans="1:11">
      <c r="A330" s="160"/>
      <c r="B330" s="160"/>
      <c r="C330" s="160"/>
      <c r="D330" s="160"/>
      <c r="E330" s="160"/>
      <c r="F330" s="160"/>
      <c r="G330" s="150" t="s">
        <v>300</v>
      </c>
      <c r="H330" s="150" t="s">
        <v>393</v>
      </c>
      <c r="I330" s="147">
        <v>111</v>
      </c>
      <c r="J330" s="147">
        <v>1160</v>
      </c>
      <c r="K330" s="148">
        <v>282</v>
      </c>
    </row>
    <row r="331" spans="1:11">
      <c r="B331" s="159"/>
      <c r="C331" s="159"/>
      <c r="D331" s="159"/>
      <c r="E331" s="159"/>
      <c r="F331" s="159"/>
      <c r="G331" s="150" t="s">
        <v>300</v>
      </c>
      <c r="H331" s="150" t="s">
        <v>394</v>
      </c>
      <c r="I331" s="147">
        <v>522</v>
      </c>
      <c r="J331" s="147">
        <v>1667</v>
      </c>
      <c r="K331" s="148">
        <v>556</v>
      </c>
    </row>
    <row r="332" spans="1:11">
      <c r="F332" s="45"/>
      <c r="G332" s="150" t="s">
        <v>300</v>
      </c>
      <c r="H332" s="150" t="s">
        <v>395</v>
      </c>
      <c r="I332" s="147">
        <v>278</v>
      </c>
      <c r="J332" s="147">
        <v>1091</v>
      </c>
      <c r="K332" s="148">
        <v>505</v>
      </c>
    </row>
    <row r="333" spans="1:11" ht="23.25">
      <c r="A333" s="13" t="s">
        <v>472</v>
      </c>
      <c r="F333" s="45"/>
      <c r="G333" s="150" t="s">
        <v>300</v>
      </c>
      <c r="H333" s="150" t="s">
        <v>396</v>
      </c>
      <c r="I333" s="147">
        <v>0</v>
      </c>
      <c r="J333" s="147">
        <v>0</v>
      </c>
      <c r="K333" s="148">
        <v>0</v>
      </c>
    </row>
    <row r="334" spans="1:11">
      <c r="B334" s="164" t="s">
        <v>473</v>
      </c>
      <c r="C334" s="163"/>
      <c r="D334" s="163"/>
      <c r="E334" s="163"/>
      <c r="F334" s="45"/>
      <c r="G334" s="150" t="s">
        <v>300</v>
      </c>
      <c r="H334" s="150" t="s">
        <v>397</v>
      </c>
      <c r="I334" s="147">
        <v>120</v>
      </c>
      <c r="J334" s="147">
        <v>1335</v>
      </c>
      <c r="K334" s="148">
        <v>289</v>
      </c>
    </row>
    <row r="335" spans="1:11">
      <c r="B335" s="165" t="s">
        <v>2</v>
      </c>
      <c r="C335" s="165" t="s">
        <v>474</v>
      </c>
      <c r="D335" s="165" t="s">
        <v>475</v>
      </c>
      <c r="E335" s="165" t="s">
        <v>476</v>
      </c>
      <c r="F335" s="45"/>
      <c r="G335" s="150" t="s">
        <v>300</v>
      </c>
      <c r="H335" s="150" t="s">
        <v>398</v>
      </c>
      <c r="I335" s="147">
        <v>316</v>
      </c>
      <c r="J335" s="147">
        <v>1028</v>
      </c>
      <c r="K335" s="148">
        <v>505</v>
      </c>
    </row>
    <row r="336" spans="1:11">
      <c r="B336" s="166" t="s">
        <v>477</v>
      </c>
      <c r="C336" s="166" t="s">
        <v>478</v>
      </c>
      <c r="D336" s="166" t="s">
        <v>479</v>
      </c>
      <c r="E336" s="166">
        <v>28</v>
      </c>
      <c r="F336" s="45"/>
      <c r="G336" s="150" t="s">
        <v>300</v>
      </c>
      <c r="H336" s="150" t="s">
        <v>399</v>
      </c>
      <c r="I336" s="147">
        <v>446</v>
      </c>
      <c r="J336" s="147">
        <v>1763</v>
      </c>
      <c r="K336" s="148">
        <v>527</v>
      </c>
    </row>
    <row r="337" spans="1:11">
      <c r="B337" s="166" t="s">
        <v>480</v>
      </c>
      <c r="C337" s="166" t="s">
        <v>481</v>
      </c>
      <c r="D337" s="166" t="s">
        <v>482</v>
      </c>
      <c r="E337" s="166">
        <v>8</v>
      </c>
      <c r="F337" s="45"/>
      <c r="G337" s="150" t="s">
        <v>300</v>
      </c>
      <c r="H337" s="150" t="s">
        <v>400</v>
      </c>
      <c r="I337" s="147">
        <v>0</v>
      </c>
      <c r="J337" s="147">
        <v>0</v>
      </c>
      <c r="K337" s="148">
        <v>0</v>
      </c>
    </row>
    <row r="338" spans="1:11">
      <c r="B338" s="166" t="s">
        <v>483</v>
      </c>
      <c r="C338" s="166" t="s">
        <v>484</v>
      </c>
      <c r="D338" s="166" t="s">
        <v>479</v>
      </c>
      <c r="E338" s="166">
        <v>19</v>
      </c>
      <c r="F338" s="45"/>
      <c r="G338" s="150" t="s">
        <v>300</v>
      </c>
      <c r="H338" s="150" t="s">
        <v>401</v>
      </c>
      <c r="I338" s="147">
        <v>254</v>
      </c>
      <c r="J338" s="147">
        <v>642</v>
      </c>
      <c r="K338" s="148">
        <v>308</v>
      </c>
    </row>
    <row r="339" spans="1:11">
      <c r="B339" s="166" t="s">
        <v>485</v>
      </c>
      <c r="C339" s="166" t="s">
        <v>486</v>
      </c>
      <c r="D339" s="166" t="s">
        <v>487</v>
      </c>
      <c r="E339" s="166">
        <v>2</v>
      </c>
      <c r="F339" s="45"/>
      <c r="G339" s="150" t="s">
        <v>300</v>
      </c>
      <c r="H339" s="150" t="s">
        <v>402</v>
      </c>
      <c r="I339" s="147">
        <v>157</v>
      </c>
      <c r="J339" s="147">
        <v>440</v>
      </c>
      <c r="K339" s="148">
        <v>436</v>
      </c>
    </row>
    <row r="340" spans="1:11">
      <c r="B340" s="166" t="s">
        <v>488</v>
      </c>
      <c r="C340" s="166" t="s">
        <v>484</v>
      </c>
      <c r="D340" s="166" t="s">
        <v>489</v>
      </c>
      <c r="E340" s="166">
        <v>5</v>
      </c>
      <c r="F340" s="45"/>
      <c r="G340" s="150" t="s">
        <v>300</v>
      </c>
      <c r="H340" s="150" t="s">
        <v>403</v>
      </c>
      <c r="I340" s="147">
        <v>788</v>
      </c>
      <c r="J340" s="147">
        <v>988</v>
      </c>
      <c r="K340" s="148">
        <v>673</v>
      </c>
    </row>
    <row r="341" spans="1:11">
      <c r="B341" s="166" t="s">
        <v>490</v>
      </c>
      <c r="C341" s="166" t="s">
        <v>481</v>
      </c>
      <c r="D341" s="166" t="s">
        <v>479</v>
      </c>
      <c r="E341" s="166">
        <v>9</v>
      </c>
      <c r="F341" s="45"/>
      <c r="G341" s="150" t="s">
        <v>300</v>
      </c>
      <c r="H341" s="150" t="s">
        <v>404</v>
      </c>
      <c r="I341" s="147">
        <v>398</v>
      </c>
      <c r="J341" s="147">
        <v>454</v>
      </c>
      <c r="K341" s="148">
        <v>333</v>
      </c>
    </row>
    <row r="342" spans="1:11">
      <c r="B342" s="166" t="s">
        <v>491</v>
      </c>
      <c r="C342" s="166" t="s">
        <v>484</v>
      </c>
      <c r="D342" s="166" t="s">
        <v>492</v>
      </c>
      <c r="E342" s="166">
        <v>18</v>
      </c>
      <c r="F342" s="45"/>
      <c r="G342" s="150" t="s">
        <v>300</v>
      </c>
      <c r="H342" s="150" t="s">
        <v>405</v>
      </c>
      <c r="I342" s="147">
        <v>796</v>
      </c>
      <c r="J342" s="147">
        <v>912</v>
      </c>
      <c r="K342" s="148">
        <v>687</v>
      </c>
    </row>
    <row r="343" spans="1:11">
      <c r="B343" s="166" t="s">
        <v>493</v>
      </c>
      <c r="C343" s="166" t="s">
        <v>478</v>
      </c>
      <c r="D343" s="166" t="s">
        <v>479</v>
      </c>
      <c r="E343" s="166">
        <v>11</v>
      </c>
      <c r="F343" s="45"/>
      <c r="G343" s="150" t="s">
        <v>300</v>
      </c>
      <c r="H343" s="150" t="s">
        <v>406</v>
      </c>
      <c r="I343" s="147">
        <v>633</v>
      </c>
      <c r="J343" s="147">
        <v>1349</v>
      </c>
      <c r="K343" s="148">
        <v>564</v>
      </c>
    </row>
    <row r="344" spans="1:11">
      <c r="B344" s="166" t="s">
        <v>494</v>
      </c>
      <c r="C344" s="166" t="s">
        <v>486</v>
      </c>
      <c r="D344" s="166" t="s">
        <v>495</v>
      </c>
      <c r="E344" s="166">
        <v>3</v>
      </c>
      <c r="F344" s="45"/>
      <c r="G344" s="150" t="s">
        <v>300</v>
      </c>
      <c r="H344" s="150" t="s">
        <v>407</v>
      </c>
      <c r="I344" s="147">
        <v>1018</v>
      </c>
      <c r="J344" s="147">
        <v>1622</v>
      </c>
      <c r="K344" s="148">
        <v>826</v>
      </c>
    </row>
    <row r="345" spans="1:11">
      <c r="B345" s="166" t="s">
        <v>496</v>
      </c>
      <c r="C345" s="166" t="s">
        <v>481</v>
      </c>
      <c r="D345" s="166" t="s">
        <v>497</v>
      </c>
      <c r="E345" s="166">
        <v>15</v>
      </c>
      <c r="F345" s="45"/>
      <c r="G345" s="150" t="s">
        <v>300</v>
      </c>
      <c r="H345" s="150" t="s">
        <v>408</v>
      </c>
      <c r="I345" s="147">
        <v>356</v>
      </c>
      <c r="J345" s="147">
        <v>429</v>
      </c>
      <c r="K345" s="148">
        <v>621</v>
      </c>
    </row>
    <row r="346" spans="1:11">
      <c r="F346" s="45"/>
      <c r="G346" s="150" t="s">
        <v>300</v>
      </c>
      <c r="H346" s="150" t="s">
        <v>409</v>
      </c>
      <c r="I346" s="147">
        <v>1173</v>
      </c>
      <c r="J346" s="147">
        <v>1342</v>
      </c>
      <c r="K346" s="148">
        <v>605</v>
      </c>
    </row>
    <row r="347" spans="1:11">
      <c r="A347" s="168"/>
      <c r="B347" s="170" t="s">
        <v>498</v>
      </c>
      <c r="C347" s="168"/>
      <c r="D347" s="168"/>
      <c r="E347" s="175" t="s">
        <v>499</v>
      </c>
      <c r="F347" s="167"/>
      <c r="G347" s="150" t="s">
        <v>300</v>
      </c>
      <c r="H347" s="150" t="s">
        <v>410</v>
      </c>
      <c r="I347" s="147">
        <v>729</v>
      </c>
      <c r="J347" s="147">
        <v>1085</v>
      </c>
      <c r="K347" s="148">
        <v>838</v>
      </c>
    </row>
    <row r="348" spans="1:11">
      <c r="A348" s="167"/>
      <c r="B348" s="167"/>
      <c r="C348" s="167"/>
      <c r="D348" s="167"/>
      <c r="E348" s="167"/>
      <c r="F348" s="167"/>
      <c r="G348" s="150" t="s">
        <v>300</v>
      </c>
      <c r="H348" s="150" t="s">
        <v>411</v>
      </c>
      <c r="I348" s="147">
        <v>935</v>
      </c>
      <c r="J348" s="147">
        <v>1436</v>
      </c>
      <c r="K348" s="148">
        <v>1237</v>
      </c>
    </row>
    <row r="349" spans="1:11">
      <c r="A349" s="169">
        <v>1</v>
      </c>
      <c r="B349" s="171" t="s">
        <v>500</v>
      </c>
      <c r="C349" s="168"/>
      <c r="D349" s="168"/>
      <c r="E349" s="168"/>
      <c r="F349" s="167"/>
      <c r="G349" s="150" t="s">
        <v>300</v>
      </c>
      <c r="H349" s="150" t="s">
        <v>412</v>
      </c>
      <c r="I349" s="147">
        <v>930</v>
      </c>
      <c r="J349" s="147">
        <v>1328</v>
      </c>
      <c r="K349" s="148">
        <v>1024</v>
      </c>
    </row>
    <row r="350" spans="1:11">
      <c r="A350" s="168"/>
      <c r="B350" s="168"/>
      <c r="C350" s="172" t="s">
        <v>501</v>
      </c>
      <c r="D350" s="172"/>
      <c r="E350" s="168"/>
      <c r="F350" s="168"/>
      <c r="G350" s="150" t="s">
        <v>300</v>
      </c>
      <c r="H350" s="150" t="s">
        <v>413</v>
      </c>
      <c r="I350" s="147">
        <v>1207</v>
      </c>
      <c r="J350" s="147">
        <v>1863</v>
      </c>
      <c r="K350" s="148">
        <v>1375</v>
      </c>
    </row>
    <row r="351" spans="1:11">
      <c r="A351" s="168"/>
      <c r="B351" s="173" t="s">
        <v>128</v>
      </c>
      <c r="C351" s="174">
        <f>SUMIF(D335:D345,"USA",E335:E345)</f>
        <v>67</v>
      </c>
      <c r="D351" s="168"/>
      <c r="E351" s="168"/>
      <c r="F351" s="168"/>
      <c r="G351" s="150" t="s">
        <v>300</v>
      </c>
      <c r="H351" s="150" t="s">
        <v>414</v>
      </c>
      <c r="I351" s="147">
        <v>1089</v>
      </c>
      <c r="J351" s="147">
        <v>1554</v>
      </c>
      <c r="K351" s="148">
        <v>945</v>
      </c>
    </row>
    <row r="352" spans="1:11">
      <c r="F352" s="45"/>
      <c r="G352" s="150" t="s">
        <v>300</v>
      </c>
      <c r="H352" s="150" t="s">
        <v>415</v>
      </c>
      <c r="I352" s="147">
        <v>1179</v>
      </c>
      <c r="J352" s="147">
        <v>1541</v>
      </c>
      <c r="K352" s="148">
        <v>1136</v>
      </c>
    </row>
    <row r="353" spans="1:11">
      <c r="A353" s="177">
        <v>2</v>
      </c>
      <c r="B353" s="178" t="s">
        <v>502</v>
      </c>
      <c r="C353" s="176"/>
      <c r="D353" s="176"/>
      <c r="E353" s="176"/>
      <c r="F353" s="45"/>
      <c r="G353" s="150" t="s">
        <v>300</v>
      </c>
      <c r="H353" s="150" t="s">
        <v>416</v>
      </c>
      <c r="I353" s="147">
        <v>646</v>
      </c>
      <c r="J353" s="147">
        <v>1144</v>
      </c>
      <c r="K353" s="148">
        <v>1027</v>
      </c>
    </row>
    <row r="354" spans="1:11">
      <c r="A354" s="176"/>
      <c r="B354" s="176"/>
      <c r="C354" s="179" t="s">
        <v>501</v>
      </c>
      <c r="D354" s="179"/>
      <c r="E354" s="176"/>
      <c r="F354" s="45"/>
      <c r="G354" s="150" t="s">
        <v>300</v>
      </c>
      <c r="H354" s="150" t="s">
        <v>417</v>
      </c>
      <c r="I354" s="147">
        <v>689</v>
      </c>
      <c r="J354" s="147">
        <v>1352</v>
      </c>
      <c r="K354" s="148">
        <v>777</v>
      </c>
    </row>
    <row r="355" spans="1:11">
      <c r="A355" s="176"/>
      <c r="B355" s="180" t="s">
        <v>128</v>
      </c>
      <c r="C355" s="181">
        <f>SUMIF(C335:C345,"Figure Skating",E335:E345)</f>
        <v>5</v>
      </c>
      <c r="D355" s="176"/>
      <c r="E355" s="176"/>
      <c r="F355" s="45"/>
      <c r="G355" s="150" t="s">
        <v>300</v>
      </c>
      <c r="H355" s="150" t="s">
        <v>418</v>
      </c>
      <c r="I355" s="147">
        <v>92</v>
      </c>
      <c r="J355" s="147">
        <v>1393</v>
      </c>
      <c r="K355" s="148">
        <v>295</v>
      </c>
    </row>
    <row r="356" spans="1:11">
      <c r="F356" s="45"/>
      <c r="G356" s="150" t="s">
        <v>300</v>
      </c>
      <c r="H356" s="150" t="s">
        <v>419</v>
      </c>
      <c r="I356" s="147">
        <v>361</v>
      </c>
      <c r="J356" s="147">
        <v>4109</v>
      </c>
      <c r="K356" s="148">
        <v>761</v>
      </c>
    </row>
    <row r="357" spans="1:11">
      <c r="A357" s="183">
        <v>2</v>
      </c>
      <c r="B357" s="184" t="s">
        <v>503</v>
      </c>
      <c r="C357" s="182"/>
      <c r="D357" s="182"/>
      <c r="E357" s="182"/>
      <c r="F357" s="182"/>
      <c r="G357" s="150" t="s">
        <v>300</v>
      </c>
      <c r="H357" s="150" t="s">
        <v>420</v>
      </c>
      <c r="I357" s="147">
        <v>148</v>
      </c>
      <c r="J357" s="147">
        <v>1510</v>
      </c>
      <c r="K357" s="148">
        <v>300</v>
      </c>
    </row>
    <row r="358" spans="1:11">
      <c r="A358" s="182"/>
      <c r="B358" s="182"/>
      <c r="C358" s="185" t="s">
        <v>501</v>
      </c>
      <c r="D358" s="185"/>
      <c r="E358" s="182"/>
      <c r="F358" s="182"/>
      <c r="G358" s="150" t="s">
        <v>300</v>
      </c>
      <c r="H358" s="150" t="s">
        <v>421</v>
      </c>
      <c r="I358" s="147">
        <v>367</v>
      </c>
      <c r="J358" s="147">
        <v>1942</v>
      </c>
      <c r="K358" s="148">
        <v>817</v>
      </c>
    </row>
    <row r="359" spans="1:11">
      <c r="A359" s="182"/>
      <c r="B359" s="186" t="s">
        <v>128</v>
      </c>
      <c r="C359" s="187">
        <f>SUMIFS(E335:E345,D335:D345,"USA",D335:D345,"Jamaica")</f>
        <v>0</v>
      </c>
      <c r="D359" s="182"/>
      <c r="E359" s="182"/>
      <c r="F359" s="182"/>
      <c r="G359" s="150" t="s">
        <v>300</v>
      </c>
      <c r="H359" s="150" t="s">
        <v>422</v>
      </c>
      <c r="I359" s="147">
        <v>96</v>
      </c>
      <c r="J359" s="147">
        <v>249</v>
      </c>
      <c r="K359" s="148">
        <v>191</v>
      </c>
    </row>
    <row r="360" spans="1:11">
      <c r="F360" s="45"/>
      <c r="G360" s="150" t="s">
        <v>300</v>
      </c>
      <c r="H360" s="150" t="s">
        <v>423</v>
      </c>
      <c r="I360" s="147">
        <v>104</v>
      </c>
      <c r="J360" s="147">
        <v>281</v>
      </c>
      <c r="K360" s="148">
        <v>241</v>
      </c>
    </row>
    <row r="361" spans="1:11">
      <c r="F361" s="45"/>
      <c r="G361" s="150" t="s">
        <v>300</v>
      </c>
      <c r="H361" s="150" t="s">
        <v>424</v>
      </c>
      <c r="I361" s="147">
        <v>152</v>
      </c>
      <c r="J361" s="147">
        <v>225</v>
      </c>
      <c r="K361" s="148">
        <v>215</v>
      </c>
    </row>
    <row r="362" spans="1:11">
      <c r="F362" s="45"/>
      <c r="G362" s="150" t="s">
        <v>300</v>
      </c>
      <c r="H362" s="150" t="s">
        <v>425</v>
      </c>
      <c r="I362" s="147">
        <v>661</v>
      </c>
      <c r="J362" s="147">
        <v>1509</v>
      </c>
      <c r="K362" s="148">
        <v>818</v>
      </c>
    </row>
    <row r="363" spans="1:11">
      <c r="F363" s="45"/>
      <c r="G363" s="150" t="s">
        <v>300</v>
      </c>
      <c r="H363" s="150" t="s">
        <v>426</v>
      </c>
      <c r="I363" s="147">
        <v>417</v>
      </c>
      <c r="J363" s="147">
        <v>591</v>
      </c>
      <c r="K363" s="148">
        <v>414</v>
      </c>
    </row>
    <row r="364" spans="1:11" ht="23.25">
      <c r="A364" s="13" t="s">
        <v>504</v>
      </c>
      <c r="F364" s="45"/>
      <c r="G364" s="150" t="s">
        <v>300</v>
      </c>
      <c r="H364" s="150" t="s">
        <v>427</v>
      </c>
      <c r="I364" s="147">
        <v>588</v>
      </c>
      <c r="J364" s="147">
        <v>1036</v>
      </c>
      <c r="K364" s="148">
        <v>725</v>
      </c>
    </row>
    <row r="365" spans="1:11">
      <c r="F365" s="45"/>
      <c r="G365" s="150" t="s">
        <v>300</v>
      </c>
      <c r="H365" s="150" t="s">
        <v>428</v>
      </c>
      <c r="I365" s="147">
        <v>99</v>
      </c>
      <c r="J365" s="147">
        <v>566</v>
      </c>
      <c r="K365" s="148">
        <v>200</v>
      </c>
    </row>
    <row r="366" spans="1:11">
      <c r="A366" s="182" t="s">
        <v>505</v>
      </c>
      <c r="B366" s="182"/>
      <c r="C366" s="182"/>
      <c r="D366" s="182"/>
      <c r="F366" s="45"/>
      <c r="G366" s="150" t="s">
        <v>300</v>
      </c>
      <c r="H366" s="150" t="s">
        <v>429</v>
      </c>
      <c r="I366" s="147">
        <v>1113</v>
      </c>
      <c r="J366" s="147">
        <v>1539</v>
      </c>
      <c r="K366" s="148">
        <v>1209</v>
      </c>
    </row>
    <row r="367" spans="1:11">
      <c r="A367" s="182" t="s">
        <v>506</v>
      </c>
      <c r="B367" s="182"/>
      <c r="C367" s="182"/>
      <c r="D367" s="182"/>
      <c r="F367" s="45"/>
      <c r="G367" s="150" t="s">
        <v>300</v>
      </c>
      <c r="H367" s="150" t="s">
        <v>430</v>
      </c>
      <c r="I367" s="147">
        <v>1462</v>
      </c>
      <c r="J367" s="147">
        <v>1993</v>
      </c>
      <c r="K367" s="148">
        <v>1444</v>
      </c>
    </row>
    <row r="368" spans="1:11">
      <c r="F368" s="45"/>
      <c r="G368" s="150" t="s">
        <v>300</v>
      </c>
      <c r="H368" s="150" t="s">
        <v>431</v>
      </c>
      <c r="I368" s="147">
        <v>1094</v>
      </c>
      <c r="J368" s="147">
        <v>1924</v>
      </c>
      <c r="K368" s="148">
        <v>1466</v>
      </c>
    </row>
    <row r="369" spans="1:11">
      <c r="C369" s="161" t="s">
        <v>507</v>
      </c>
      <c r="D369" s="182"/>
      <c r="F369" s="45"/>
      <c r="G369" s="150" t="s">
        <v>300</v>
      </c>
      <c r="H369" s="150" t="s">
        <v>432</v>
      </c>
      <c r="I369" s="147">
        <v>924</v>
      </c>
      <c r="J369" s="147">
        <v>1799</v>
      </c>
      <c r="K369" s="148">
        <v>1269</v>
      </c>
    </row>
    <row r="370" spans="1:11">
      <c r="F370" s="45"/>
      <c r="G370" s="150" t="s">
        <v>300</v>
      </c>
      <c r="H370" s="150" t="s">
        <v>433</v>
      </c>
      <c r="I370" s="147">
        <v>0</v>
      </c>
      <c r="J370" s="147">
        <v>0</v>
      </c>
      <c r="K370" s="148">
        <v>0</v>
      </c>
    </row>
    <row r="371" spans="1:11">
      <c r="A371" s="161" t="s">
        <v>284</v>
      </c>
      <c r="B371" s="161" t="s">
        <v>508</v>
      </c>
      <c r="C371" s="190" t="s">
        <v>284</v>
      </c>
      <c r="D371" s="190" t="s">
        <v>508</v>
      </c>
      <c r="F371" s="45"/>
      <c r="G371" s="150" t="s">
        <v>300</v>
      </c>
      <c r="H371" s="150" t="s">
        <v>434</v>
      </c>
      <c r="I371" s="147">
        <v>296</v>
      </c>
      <c r="J371" s="147">
        <v>443</v>
      </c>
      <c r="K371" s="148">
        <v>157</v>
      </c>
    </row>
    <row r="372" spans="1:11">
      <c r="A372" s="188">
        <v>44201</v>
      </c>
      <c r="B372" s="189">
        <f>VLOOKUP(C374,C371:D394,2,FALSE)</f>
        <v>1.3624000000000001</v>
      </c>
      <c r="C372" s="191">
        <v>44197</v>
      </c>
      <c r="D372" s="192">
        <v>1.3671</v>
      </c>
      <c r="F372" s="45"/>
      <c r="G372" s="150" t="s">
        <v>300</v>
      </c>
      <c r="H372" s="150" t="s">
        <v>435</v>
      </c>
      <c r="I372" s="147">
        <v>858</v>
      </c>
      <c r="J372" s="147">
        <v>1562</v>
      </c>
      <c r="K372" s="148">
        <v>832</v>
      </c>
    </row>
    <row r="373" spans="1:11">
      <c r="A373" s="188">
        <v>44211</v>
      </c>
      <c r="B373" s="189">
        <f>VLOOKUP(C382,C371:D392,2,FALSE)</f>
        <v>1.3586</v>
      </c>
      <c r="C373" s="191">
        <v>44200</v>
      </c>
      <c r="D373" s="192">
        <v>1.3569</v>
      </c>
      <c r="F373" s="45"/>
      <c r="G373" s="150" t="s">
        <v>300</v>
      </c>
      <c r="H373" s="150" t="s">
        <v>436</v>
      </c>
      <c r="I373" s="147">
        <v>487</v>
      </c>
      <c r="J373" s="147">
        <v>821</v>
      </c>
      <c r="K373" s="148">
        <v>556</v>
      </c>
    </row>
    <row r="374" spans="1:11">
      <c r="A374" s="188">
        <v>44220</v>
      </c>
      <c r="B374" s="189" t="e">
        <f>VLOOKUP(1/24/2021,C371:D392,2,FALSE)</f>
        <v>#N/A</v>
      </c>
      <c r="C374" s="191">
        <v>44201</v>
      </c>
      <c r="D374" s="192">
        <v>1.3624000000000001</v>
      </c>
      <c r="F374" s="45"/>
      <c r="G374" s="150" t="s">
        <v>300</v>
      </c>
      <c r="H374" s="150" t="s">
        <v>437</v>
      </c>
      <c r="I374" s="147">
        <v>985</v>
      </c>
      <c r="J374" s="147">
        <v>2100</v>
      </c>
      <c r="K374" s="148">
        <v>1402</v>
      </c>
    </row>
    <row r="375" spans="1:11">
      <c r="C375" s="191">
        <v>44202</v>
      </c>
      <c r="D375" s="192">
        <v>1.3607</v>
      </c>
      <c r="F375" s="45"/>
      <c r="G375" s="150" t="s">
        <v>300</v>
      </c>
      <c r="H375" s="150" t="s">
        <v>438</v>
      </c>
      <c r="I375" s="147">
        <v>430</v>
      </c>
      <c r="J375" s="147">
        <v>976</v>
      </c>
      <c r="K375" s="148">
        <v>616</v>
      </c>
    </row>
    <row r="376" spans="1:11">
      <c r="C376" s="191">
        <v>44203</v>
      </c>
      <c r="D376" s="192">
        <v>1.3563000000000001</v>
      </c>
      <c r="F376" s="45"/>
      <c r="G376" s="150" t="s">
        <v>300</v>
      </c>
      <c r="H376" s="150" t="s">
        <v>439</v>
      </c>
      <c r="I376" s="147">
        <v>11</v>
      </c>
      <c r="J376" s="147">
        <v>4</v>
      </c>
      <c r="K376" s="148">
        <v>351</v>
      </c>
    </row>
    <row r="377" spans="1:11">
      <c r="C377" s="191">
        <v>44204</v>
      </c>
      <c r="D377" s="192">
        <v>1.3563000000000001</v>
      </c>
      <c r="F377" s="45"/>
      <c r="G377" s="150" t="s">
        <v>300</v>
      </c>
      <c r="H377" s="150" t="s">
        <v>440</v>
      </c>
      <c r="I377" s="147">
        <v>370</v>
      </c>
      <c r="J377" s="147">
        <v>480</v>
      </c>
      <c r="K377" s="148">
        <v>398</v>
      </c>
    </row>
    <row r="378" spans="1:11">
      <c r="C378" s="191">
        <v>44207</v>
      </c>
      <c r="D378" s="192">
        <v>1.3513999999999999</v>
      </c>
      <c r="F378" s="45"/>
      <c r="G378" s="150" t="s">
        <v>300</v>
      </c>
      <c r="H378" s="150" t="s">
        <v>441</v>
      </c>
      <c r="I378" s="147">
        <v>778</v>
      </c>
      <c r="J378" s="147">
        <v>1343</v>
      </c>
      <c r="K378" s="148">
        <v>1071</v>
      </c>
    </row>
    <row r="379" spans="1:11">
      <c r="C379" s="191">
        <v>44208</v>
      </c>
      <c r="D379" s="192">
        <v>1.3663000000000001</v>
      </c>
      <c r="F379" s="45"/>
      <c r="G379" s="150" t="s">
        <v>300</v>
      </c>
      <c r="H379" s="150" t="s">
        <v>442</v>
      </c>
      <c r="I379" s="147">
        <v>783</v>
      </c>
      <c r="J379" s="147">
        <v>1429</v>
      </c>
      <c r="K379" s="148">
        <v>1018</v>
      </c>
    </row>
    <row r="380" spans="1:11">
      <c r="C380" s="191">
        <v>44209</v>
      </c>
      <c r="D380" s="192">
        <v>1.3636999999999999</v>
      </c>
      <c r="F380" s="45"/>
      <c r="G380" s="150" t="s">
        <v>300</v>
      </c>
      <c r="H380" s="150" t="s">
        <v>443</v>
      </c>
      <c r="I380" s="147">
        <v>1376</v>
      </c>
      <c r="J380" s="147">
        <v>2314</v>
      </c>
      <c r="K380" s="148">
        <v>1440</v>
      </c>
    </row>
    <row r="381" spans="1:11">
      <c r="C381" s="191">
        <v>44210</v>
      </c>
      <c r="D381" s="192">
        <v>1.3687</v>
      </c>
      <c r="F381" s="45"/>
      <c r="G381" s="150" t="s">
        <v>300</v>
      </c>
      <c r="H381" s="150" t="s">
        <v>444</v>
      </c>
      <c r="I381" s="147">
        <v>717</v>
      </c>
      <c r="J381" s="147">
        <v>1732</v>
      </c>
      <c r="K381" s="148">
        <v>1623</v>
      </c>
    </row>
    <row r="382" spans="1:11">
      <c r="C382" s="191">
        <v>44211</v>
      </c>
      <c r="D382" s="192">
        <v>1.3586</v>
      </c>
      <c r="F382" s="45"/>
      <c r="G382" s="150" t="s">
        <v>300</v>
      </c>
      <c r="H382" s="150" t="s">
        <v>445</v>
      </c>
      <c r="I382" s="147">
        <v>301</v>
      </c>
      <c r="J382" s="147">
        <v>720</v>
      </c>
      <c r="K382" s="148">
        <v>629</v>
      </c>
    </row>
    <row r="383" spans="1:11">
      <c r="C383" s="191">
        <v>44214</v>
      </c>
      <c r="D383" s="192">
        <v>1.3584000000000001</v>
      </c>
      <c r="F383" s="45"/>
      <c r="G383" s="150" t="s">
        <v>300</v>
      </c>
      <c r="H383" s="150" t="s">
        <v>446</v>
      </c>
      <c r="I383" s="147">
        <v>179</v>
      </c>
      <c r="J383" s="147">
        <v>303</v>
      </c>
      <c r="K383" s="148">
        <v>258</v>
      </c>
    </row>
    <row r="384" spans="1:11">
      <c r="C384" s="191">
        <v>44215</v>
      </c>
      <c r="D384" s="192">
        <v>1.3628</v>
      </c>
      <c r="F384" s="45"/>
      <c r="G384" s="150" t="s">
        <v>300</v>
      </c>
      <c r="H384" s="150" t="s">
        <v>447</v>
      </c>
      <c r="I384" s="147">
        <v>919</v>
      </c>
      <c r="J384" s="147">
        <v>1445</v>
      </c>
      <c r="K384" s="148">
        <v>1250</v>
      </c>
    </row>
    <row r="385" spans="1:12">
      <c r="C385" s="191">
        <v>44216</v>
      </c>
      <c r="D385" s="192">
        <v>1.3653</v>
      </c>
      <c r="F385" s="45"/>
      <c r="G385" s="150" t="s">
        <v>300</v>
      </c>
      <c r="H385" s="150" t="s">
        <v>448</v>
      </c>
      <c r="I385" s="147">
        <v>396</v>
      </c>
      <c r="J385" s="147">
        <v>704</v>
      </c>
      <c r="K385" s="148">
        <v>712</v>
      </c>
    </row>
    <row r="386" spans="1:12">
      <c r="C386" s="191">
        <v>44217</v>
      </c>
      <c r="D386" s="192">
        <v>1.3732</v>
      </c>
      <c r="F386" s="45"/>
      <c r="G386" s="150" t="s">
        <v>300</v>
      </c>
      <c r="H386" s="150" t="s">
        <v>449</v>
      </c>
      <c r="I386" s="147">
        <v>387</v>
      </c>
      <c r="J386" s="147">
        <v>735</v>
      </c>
      <c r="K386" s="148">
        <v>677</v>
      </c>
    </row>
    <row r="387" spans="1:12">
      <c r="C387" s="191">
        <v>44218</v>
      </c>
      <c r="D387" s="192">
        <v>1.3684000000000001</v>
      </c>
      <c r="F387" s="45"/>
      <c r="G387" s="150" t="s">
        <v>300</v>
      </c>
      <c r="H387" s="150" t="s">
        <v>450</v>
      </c>
      <c r="I387" s="147">
        <v>869</v>
      </c>
      <c r="J387" s="147">
        <v>1267</v>
      </c>
      <c r="K387" s="148">
        <v>801</v>
      </c>
    </row>
    <row r="388" spans="1:12">
      <c r="C388" s="191">
        <v>44221</v>
      </c>
      <c r="D388" s="192">
        <v>1.3673999999999999</v>
      </c>
      <c r="F388" s="45"/>
      <c r="G388" s="150" t="s">
        <v>300</v>
      </c>
      <c r="H388" s="150" t="s">
        <v>451</v>
      </c>
      <c r="I388" s="147">
        <v>1500</v>
      </c>
      <c r="J388" s="147">
        <v>2104</v>
      </c>
      <c r="K388" s="148">
        <v>1570</v>
      </c>
    </row>
    <row r="389" spans="1:12">
      <c r="C389" s="191">
        <v>44222</v>
      </c>
      <c r="D389" s="192">
        <v>1.3733</v>
      </c>
      <c r="F389" s="45"/>
      <c r="G389" s="150" t="s">
        <v>300</v>
      </c>
      <c r="H389" s="150" t="s">
        <v>452</v>
      </c>
      <c r="I389" s="147">
        <v>1064</v>
      </c>
      <c r="J389" s="147">
        <v>1509</v>
      </c>
      <c r="K389" s="148">
        <v>1126</v>
      </c>
    </row>
    <row r="390" spans="1:12">
      <c r="C390" s="191">
        <v>44223</v>
      </c>
      <c r="D390" s="192">
        <v>1.3686</v>
      </c>
      <c r="F390" s="45"/>
      <c r="G390" s="150" t="s">
        <v>300</v>
      </c>
      <c r="H390" s="150" t="s">
        <v>453</v>
      </c>
      <c r="I390" s="147">
        <v>1272</v>
      </c>
      <c r="J390" s="147">
        <v>2058</v>
      </c>
      <c r="K390" s="148">
        <v>1702</v>
      </c>
    </row>
    <row r="391" spans="1:12">
      <c r="C391" s="191">
        <v>44224</v>
      </c>
      <c r="D391" s="192">
        <v>1.3717999999999999</v>
      </c>
      <c r="F391" s="45"/>
      <c r="G391" s="150" t="s">
        <v>300</v>
      </c>
      <c r="H391" s="150" t="s">
        <v>454</v>
      </c>
      <c r="I391" s="147">
        <v>916</v>
      </c>
      <c r="J391" s="147">
        <v>1326</v>
      </c>
      <c r="K391" s="148">
        <v>840</v>
      </c>
    </row>
    <row r="392" spans="1:12">
      <c r="C392" s="191">
        <v>44225</v>
      </c>
      <c r="D392" s="192">
        <v>1.3702000000000001</v>
      </c>
      <c r="F392" s="45"/>
      <c r="G392" s="150" t="s">
        <v>300</v>
      </c>
      <c r="H392" s="150" t="s">
        <v>455</v>
      </c>
      <c r="I392" s="147">
        <v>877</v>
      </c>
      <c r="J392" s="147">
        <v>1498</v>
      </c>
      <c r="K392" s="148">
        <v>1274</v>
      </c>
    </row>
    <row r="393" spans="1:12">
      <c r="C393" s="182"/>
      <c r="D393" s="182"/>
      <c r="F393" s="45"/>
      <c r="G393" s="150" t="s">
        <v>300</v>
      </c>
      <c r="H393" s="150" t="s">
        <v>456</v>
      </c>
      <c r="I393" s="147">
        <v>716</v>
      </c>
      <c r="J393" s="147">
        <v>1119</v>
      </c>
      <c r="K393" s="148">
        <v>837</v>
      </c>
    </row>
    <row r="394" spans="1:12">
      <c r="F394" s="45"/>
      <c r="G394" s="150" t="s">
        <v>300</v>
      </c>
      <c r="H394" s="150" t="s">
        <v>457</v>
      </c>
      <c r="I394" s="147">
        <v>772</v>
      </c>
      <c r="J394" s="147">
        <v>1410</v>
      </c>
      <c r="K394" s="148">
        <v>1199</v>
      </c>
    </row>
    <row r="395" spans="1:12">
      <c r="F395" s="45"/>
      <c r="G395" s="150" t="s">
        <v>300</v>
      </c>
      <c r="H395" s="150" t="s">
        <v>458</v>
      </c>
      <c r="I395" s="147">
        <v>1190</v>
      </c>
      <c r="J395" s="147">
        <v>1969</v>
      </c>
      <c r="K395" s="148">
        <v>1597</v>
      </c>
    </row>
    <row r="397" spans="1:12" ht="23.25">
      <c r="A397" s="13" t="s">
        <v>509</v>
      </c>
    </row>
    <row r="398" spans="1:12">
      <c r="B398" s="214" t="s">
        <v>510</v>
      </c>
      <c r="C398" s="215"/>
      <c r="D398" s="215"/>
      <c r="E398" s="215"/>
      <c r="F398" s="182"/>
      <c r="G398" s="182"/>
      <c r="H398" s="182"/>
      <c r="I398" s="182"/>
      <c r="J398" s="182"/>
    </row>
    <row r="399" spans="1:12" ht="23.25">
      <c r="B399" s="182"/>
      <c r="C399" s="182"/>
      <c r="D399" s="182"/>
      <c r="E399" s="182"/>
      <c r="F399" s="182"/>
      <c r="G399" s="182"/>
      <c r="H399" s="13" t="s">
        <v>537</v>
      </c>
      <c r="I399" s="182"/>
      <c r="J399" s="182"/>
    </row>
    <row r="400" spans="1:12">
      <c r="B400" s="193" t="s">
        <v>107</v>
      </c>
      <c r="C400" s="194" t="s">
        <v>2</v>
      </c>
      <c r="D400" s="194" t="s">
        <v>511</v>
      </c>
      <c r="E400" s="194" t="s">
        <v>124</v>
      </c>
      <c r="F400" s="194" t="s">
        <v>159</v>
      </c>
      <c r="I400" s="186" t="s">
        <v>538</v>
      </c>
      <c r="J400" s="207"/>
      <c r="K400" s="207"/>
      <c r="L400" s="207"/>
    </row>
    <row r="401" spans="1:13">
      <c r="B401" s="195">
        <v>56815</v>
      </c>
      <c r="C401" s="196" t="s">
        <v>512</v>
      </c>
      <c r="D401" s="196" t="s">
        <v>513</v>
      </c>
      <c r="E401" s="197">
        <v>13836</v>
      </c>
      <c r="F401" s="197">
        <v>25</v>
      </c>
      <c r="I401" s="208" t="s">
        <v>2</v>
      </c>
      <c r="J401" s="208" t="s">
        <v>159</v>
      </c>
      <c r="K401" s="208" t="s">
        <v>539</v>
      </c>
      <c r="L401" s="208" t="s">
        <v>540</v>
      </c>
    </row>
    <row r="402" spans="1:13">
      <c r="B402" s="195">
        <v>51186</v>
      </c>
      <c r="C402" s="196" t="s">
        <v>514</v>
      </c>
      <c r="D402" s="196" t="s">
        <v>515</v>
      </c>
      <c r="E402" s="197">
        <v>11771</v>
      </c>
      <c r="F402" s="197">
        <v>32</v>
      </c>
      <c r="I402" s="209" t="s">
        <v>541</v>
      </c>
      <c r="J402" s="209">
        <v>35</v>
      </c>
      <c r="K402" s="209" t="s">
        <v>542</v>
      </c>
      <c r="L402" s="209" t="s">
        <v>543</v>
      </c>
    </row>
    <row r="403" spans="1:13">
      <c r="B403" s="195">
        <v>51511</v>
      </c>
      <c r="C403" s="196" t="s">
        <v>516</v>
      </c>
      <c r="D403" s="196" t="s">
        <v>517</v>
      </c>
      <c r="E403" s="197">
        <v>13046</v>
      </c>
      <c r="F403" s="197">
        <v>35</v>
      </c>
      <c r="I403" s="209" t="s">
        <v>544</v>
      </c>
      <c r="J403" s="209">
        <v>42</v>
      </c>
      <c r="K403" s="209" t="s">
        <v>545</v>
      </c>
      <c r="L403" s="209" t="s">
        <v>546</v>
      </c>
    </row>
    <row r="404" spans="1:13">
      <c r="B404" s="195">
        <v>50890</v>
      </c>
      <c r="C404" s="196" t="s">
        <v>518</v>
      </c>
      <c r="D404" s="196" t="s">
        <v>519</v>
      </c>
      <c r="E404" s="197">
        <v>18276</v>
      </c>
      <c r="F404" s="197">
        <v>32</v>
      </c>
      <c r="I404" s="209" t="s">
        <v>111</v>
      </c>
      <c r="J404" s="209">
        <v>28</v>
      </c>
      <c r="K404" s="209" t="s">
        <v>542</v>
      </c>
      <c r="L404" s="209" t="s">
        <v>547</v>
      </c>
    </row>
    <row r="405" spans="1:13">
      <c r="B405" s="195">
        <v>53700</v>
      </c>
      <c r="C405" s="196" t="s">
        <v>520</v>
      </c>
      <c r="D405" s="196" t="s">
        <v>521</v>
      </c>
      <c r="E405" s="197">
        <v>19327</v>
      </c>
      <c r="F405" s="197">
        <v>26</v>
      </c>
      <c r="I405" s="209" t="s">
        <v>548</v>
      </c>
      <c r="J405" s="209">
        <v>25</v>
      </c>
      <c r="K405" s="209" t="s">
        <v>545</v>
      </c>
      <c r="L405" s="209" t="s">
        <v>120</v>
      </c>
    </row>
    <row r="406" spans="1:13">
      <c r="B406" s="195">
        <v>55879</v>
      </c>
      <c r="C406" s="196" t="s">
        <v>522</v>
      </c>
      <c r="D406" s="196" t="s">
        <v>523</v>
      </c>
      <c r="E406" s="197">
        <v>18996</v>
      </c>
      <c r="F406" s="197">
        <v>35</v>
      </c>
      <c r="I406" s="209" t="s">
        <v>549</v>
      </c>
      <c r="J406" s="209">
        <v>31</v>
      </c>
      <c r="K406" s="209" t="s">
        <v>542</v>
      </c>
      <c r="L406" s="209" t="s">
        <v>121</v>
      </c>
    </row>
    <row r="407" spans="1:13">
      <c r="B407" s="195">
        <v>59848</v>
      </c>
      <c r="C407" s="196" t="s">
        <v>524</v>
      </c>
      <c r="D407" s="196" t="s">
        <v>517</v>
      </c>
      <c r="E407" s="197">
        <v>10387</v>
      </c>
      <c r="F407" s="197">
        <v>25</v>
      </c>
      <c r="I407" s="209" t="s">
        <v>550</v>
      </c>
      <c r="J407" s="209">
        <v>27</v>
      </c>
      <c r="K407" s="209" t="s">
        <v>545</v>
      </c>
      <c r="L407" s="209" t="s">
        <v>551</v>
      </c>
    </row>
    <row r="408" spans="1:13">
      <c r="B408" s="195">
        <v>58369</v>
      </c>
      <c r="C408" s="196" t="s">
        <v>525</v>
      </c>
      <c r="D408" s="196" t="s">
        <v>523</v>
      </c>
      <c r="E408" s="197">
        <v>12566</v>
      </c>
      <c r="F408" s="197">
        <v>37</v>
      </c>
      <c r="I408" s="209" t="s">
        <v>552</v>
      </c>
      <c r="J408" s="209">
        <v>38</v>
      </c>
      <c r="K408" s="209" t="s">
        <v>542</v>
      </c>
      <c r="L408" s="209" t="s">
        <v>553</v>
      </c>
    </row>
    <row r="409" spans="1:13">
      <c r="B409" s="195">
        <v>50217</v>
      </c>
      <c r="C409" s="196" t="s">
        <v>526</v>
      </c>
      <c r="D409" s="196" t="s">
        <v>527</v>
      </c>
      <c r="E409" s="197">
        <v>16406</v>
      </c>
      <c r="F409" s="197">
        <v>42</v>
      </c>
      <c r="I409" s="209" t="s">
        <v>554</v>
      </c>
      <c r="J409" s="209">
        <v>29</v>
      </c>
      <c r="K409" s="209" t="s">
        <v>545</v>
      </c>
      <c r="L409" s="209" t="s">
        <v>555</v>
      </c>
    </row>
    <row r="410" spans="1:13">
      <c r="B410" s="195">
        <v>50695</v>
      </c>
      <c r="C410" s="196" t="s">
        <v>528</v>
      </c>
      <c r="D410" s="196" t="s">
        <v>519</v>
      </c>
      <c r="E410" s="197">
        <v>15784</v>
      </c>
      <c r="F410" s="197">
        <v>43</v>
      </c>
      <c r="I410" s="209" t="s">
        <v>556</v>
      </c>
      <c r="J410" s="209">
        <v>45</v>
      </c>
      <c r="K410" s="209" t="s">
        <v>542</v>
      </c>
      <c r="L410" s="209" t="s">
        <v>557</v>
      </c>
    </row>
    <row r="411" spans="1:13">
      <c r="B411" s="195">
        <v>59673</v>
      </c>
      <c r="C411" s="196" t="s">
        <v>529</v>
      </c>
      <c r="D411" s="196" t="s">
        <v>513</v>
      </c>
      <c r="E411" s="197">
        <v>10959</v>
      </c>
      <c r="F411" s="197">
        <v>30</v>
      </c>
      <c r="I411" s="209" t="s">
        <v>558</v>
      </c>
      <c r="J411" s="209">
        <v>33</v>
      </c>
      <c r="K411" s="209" t="s">
        <v>545</v>
      </c>
      <c r="L411" s="209" t="s">
        <v>559</v>
      </c>
    </row>
    <row r="412" spans="1:13">
      <c r="B412" s="195">
        <v>52130</v>
      </c>
      <c r="C412" s="196" t="s">
        <v>530</v>
      </c>
      <c r="D412" s="196" t="s">
        <v>531</v>
      </c>
      <c r="E412" s="197">
        <v>14562</v>
      </c>
      <c r="F412" s="197">
        <v>32</v>
      </c>
    </row>
    <row r="414" spans="1:13">
      <c r="A414" s="198">
        <v>1</v>
      </c>
      <c r="B414" s="199" t="s">
        <v>532</v>
      </c>
      <c r="C414" s="200" t="str">
        <f>VLOOKUP(B408,B400:C412,2,FALSE)</f>
        <v>Thomas Davies</v>
      </c>
      <c r="D414" s="182"/>
      <c r="E414" s="206"/>
      <c r="H414" s="207"/>
      <c r="I414" s="210" t="s">
        <v>498</v>
      </c>
      <c r="J414" s="207"/>
      <c r="K414" s="207"/>
      <c r="L414" s="207"/>
      <c r="M414" s="207"/>
    </row>
    <row r="415" spans="1:13">
      <c r="A415" s="201"/>
      <c r="B415" s="199"/>
      <c r="C415" s="199"/>
      <c r="D415" s="199"/>
      <c r="E415" s="199"/>
      <c r="H415" s="207"/>
      <c r="I415" s="207"/>
      <c r="J415" s="207"/>
      <c r="K415" s="207"/>
      <c r="L415" s="207"/>
      <c r="M415" s="207"/>
    </row>
    <row r="416" spans="1:13">
      <c r="A416" s="198">
        <v>2</v>
      </c>
      <c r="B416" s="199" t="s">
        <v>533</v>
      </c>
      <c r="C416" s="200">
        <f>VLOOKUP(C411,C400:F412,4,FALSE)</f>
        <v>30</v>
      </c>
      <c r="D416" s="199"/>
      <c r="E416" s="206"/>
      <c r="H416" s="207">
        <v>1</v>
      </c>
      <c r="I416" s="207" t="s">
        <v>560</v>
      </c>
      <c r="J416" s="207"/>
      <c r="K416" s="207"/>
      <c r="L416" s="207"/>
      <c r="M416" s="207"/>
    </row>
    <row r="417" spans="1:17">
      <c r="A417" s="201"/>
      <c r="B417" s="199"/>
      <c r="C417" s="199"/>
      <c r="D417" s="199"/>
      <c r="E417" s="199"/>
      <c r="H417" s="207"/>
      <c r="I417" s="207"/>
      <c r="J417" s="185"/>
      <c r="K417" s="185"/>
      <c r="L417" s="207"/>
      <c r="M417" s="207"/>
    </row>
    <row r="418" spans="1:17">
      <c r="A418" s="198">
        <v>3</v>
      </c>
      <c r="B418" s="216" t="s">
        <v>534</v>
      </c>
      <c r="C418" s="215"/>
      <c r="D418" s="215"/>
      <c r="E418" s="199"/>
      <c r="H418" s="207"/>
      <c r="I418" s="186" t="s">
        <v>128</v>
      </c>
      <c r="J418" s="187" t="str">
        <f>VLOOKUP(I403,I401:L411,4,FALSE)</f>
        <v>Data Scientist</v>
      </c>
      <c r="K418" s="207"/>
      <c r="L418" s="207"/>
      <c r="M418" s="207"/>
    </row>
    <row r="419" spans="1:17">
      <c r="A419" s="201"/>
      <c r="B419" s="199"/>
      <c r="C419" s="199"/>
      <c r="D419" s="199"/>
      <c r="E419" s="199"/>
    </row>
    <row r="420" spans="1:17">
      <c r="A420" s="201"/>
      <c r="B420" s="202" t="s">
        <v>107</v>
      </c>
      <c r="C420" s="203" t="s">
        <v>511</v>
      </c>
      <c r="D420" s="199"/>
      <c r="E420" s="199"/>
      <c r="H420" s="207">
        <v>2</v>
      </c>
      <c r="I420" s="207" t="s">
        <v>561</v>
      </c>
      <c r="J420" s="207"/>
      <c r="K420" s="207"/>
      <c r="L420" s="207"/>
    </row>
    <row r="421" spans="1:17">
      <c r="A421" s="201"/>
      <c r="B421" s="195">
        <v>55879</v>
      </c>
      <c r="C421" s="204" t="str">
        <f>VLOOKUP(B406,B400:D412,3,FALSE)</f>
        <v>Capetown</v>
      </c>
      <c r="D421" s="199"/>
      <c r="E421" s="199"/>
      <c r="H421" s="207"/>
      <c r="I421" s="207"/>
      <c r="J421" s="185" t="s">
        <v>501</v>
      </c>
      <c r="K421" s="185"/>
      <c r="L421" s="207"/>
    </row>
    <row r="422" spans="1:17">
      <c r="A422" s="201"/>
      <c r="B422" s="195">
        <v>50217</v>
      </c>
      <c r="C422" s="204" t="str">
        <f>VLOOKUP(B409,B400:D412,3,FALSE)</f>
        <v>Warsaw</v>
      </c>
      <c r="D422" s="199"/>
      <c r="E422" s="199"/>
      <c r="H422" s="207"/>
      <c r="I422" s="186" t="s">
        <v>128</v>
      </c>
      <c r="J422" s="187">
        <f>VLOOKUP(I410,I401:J411,2,FALSE)</f>
        <v>45</v>
      </c>
      <c r="K422" s="207"/>
      <c r="L422" s="207"/>
    </row>
    <row r="423" spans="1:17">
      <c r="A423" s="201"/>
      <c r="B423" s="195">
        <v>50695</v>
      </c>
      <c r="C423" s="204" t="str">
        <f>VLOOKUP(B410,B400:D412,3,FALSE)</f>
        <v>Cairo</v>
      </c>
      <c r="D423" s="199"/>
      <c r="E423" s="199"/>
    </row>
    <row r="424" spans="1:17">
      <c r="A424" s="201"/>
      <c r="B424" s="199"/>
      <c r="C424" s="199"/>
      <c r="D424" s="199"/>
      <c r="E424" s="199"/>
      <c r="H424" s="207">
        <v>2</v>
      </c>
      <c r="I424" s="207" t="s">
        <v>562</v>
      </c>
      <c r="J424" s="207"/>
      <c r="K424" s="207"/>
      <c r="L424" s="207"/>
      <c r="M424" s="207"/>
      <c r="N424" s="207"/>
      <c r="O424" s="207"/>
      <c r="P424" s="207"/>
      <c r="Q424" s="207"/>
    </row>
    <row r="425" spans="1:17">
      <c r="A425" s="198">
        <v>4</v>
      </c>
      <c r="B425" s="216" t="s">
        <v>535</v>
      </c>
      <c r="C425" s="215"/>
      <c r="D425" s="215"/>
      <c r="E425" s="199"/>
      <c r="H425" s="207"/>
      <c r="I425" s="207"/>
      <c r="J425" s="185" t="s">
        <v>501</v>
      </c>
      <c r="K425" s="185"/>
      <c r="L425" s="207"/>
      <c r="M425" s="207"/>
      <c r="N425" s="207"/>
      <c r="O425" s="207"/>
      <c r="P425" s="207"/>
      <c r="Q425" s="207"/>
    </row>
    <row r="426" spans="1:17">
      <c r="A426" s="201"/>
      <c r="B426" s="199"/>
      <c r="C426" s="199"/>
      <c r="D426" s="199"/>
      <c r="E426" s="199"/>
      <c r="H426" s="207"/>
      <c r="I426" s="186" t="s">
        <v>128</v>
      </c>
      <c r="J426" s="187" t="str">
        <f>VLOOKUP(I404,I401:L411,4,FALSE)</f>
        <v>Accountant</v>
      </c>
      <c r="K426" s="207"/>
      <c r="L426" s="207"/>
      <c r="M426" s="207"/>
      <c r="N426" s="207"/>
      <c r="O426" s="207"/>
      <c r="P426" s="207"/>
      <c r="Q426" s="207"/>
    </row>
    <row r="427" spans="1:17">
      <c r="A427" s="201"/>
      <c r="B427" s="202" t="s">
        <v>2</v>
      </c>
      <c r="C427" s="203" t="s">
        <v>124</v>
      </c>
      <c r="D427" s="199"/>
      <c r="E427" s="199"/>
    </row>
    <row r="428" spans="1:17">
      <c r="A428" s="201"/>
      <c r="B428" s="205" t="s">
        <v>518</v>
      </c>
      <c r="C428" s="204">
        <f>VLOOKUP(C404,C400:E412,3,FALSE)</f>
        <v>18276</v>
      </c>
      <c r="D428" s="199"/>
      <c r="E428" s="199"/>
    </row>
    <row r="429" spans="1:17">
      <c r="A429" s="201"/>
      <c r="B429" s="205" t="s">
        <v>536</v>
      </c>
      <c r="C429" s="204"/>
      <c r="D429" s="199"/>
      <c r="E429" s="199"/>
    </row>
    <row r="430" spans="1:17">
      <c r="A430" s="201"/>
      <c r="B430" s="205" t="s">
        <v>529</v>
      </c>
      <c r="C430" s="204">
        <f>VLOOKUP(C411,C400:E412,3,FALSE)</f>
        <v>10959</v>
      </c>
      <c r="D430" s="199"/>
      <c r="E430" s="199"/>
    </row>
    <row r="431" spans="1:17">
      <c r="A431" s="201"/>
      <c r="B431" s="199"/>
      <c r="C431" s="199"/>
      <c r="D431" s="199"/>
      <c r="E431" s="199"/>
    </row>
  </sheetData>
  <mergeCells count="4">
    <mergeCell ref="I236:K236"/>
    <mergeCell ref="B398:E398"/>
    <mergeCell ref="B418:D418"/>
    <mergeCell ref="B425:D425"/>
  </mergeCells>
  <hyperlinks>
    <hyperlink ref="B175" location="'Math 1 - Answer'!A1" display="Click here to view the Answers!"/>
    <hyperlink ref="E347" location="'SUMIF2  Answers'!A1" display="'SUMIF2  Answers'!A1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G7" sqref="G7"/>
    </sheetView>
  </sheetViews>
  <sheetFormatPr defaultRowHeight="15"/>
  <cols>
    <col min="1" max="1" width="9.140625" style="182"/>
    <col min="2" max="2" width="26.5703125" bestFit="1" customWidth="1"/>
    <col min="3" max="3" width="14" customWidth="1"/>
  </cols>
  <sheetData>
    <row r="1" spans="1:5" s="182" customFormat="1">
      <c r="A1" s="182" t="s">
        <v>605</v>
      </c>
      <c r="B1" s="182" t="s">
        <v>602</v>
      </c>
      <c r="C1" s="182" t="s">
        <v>603</v>
      </c>
      <c r="D1" s="182" t="s">
        <v>124</v>
      </c>
      <c r="E1" s="182" t="s">
        <v>604</v>
      </c>
    </row>
    <row r="2" spans="1:5">
      <c r="A2" s="182">
        <v>1</v>
      </c>
      <c r="B2" t="s">
        <v>563</v>
      </c>
      <c r="C2" t="s">
        <v>564</v>
      </c>
      <c r="D2">
        <v>50000</v>
      </c>
      <c r="E2">
        <v>30</v>
      </c>
    </row>
    <row r="3" spans="1:5">
      <c r="A3" s="182">
        <v>2</v>
      </c>
      <c r="B3" t="s">
        <v>565</v>
      </c>
      <c r="C3" t="s">
        <v>566</v>
      </c>
      <c r="D3">
        <v>60000</v>
      </c>
      <c r="E3">
        <v>35</v>
      </c>
    </row>
    <row r="4" spans="1:5">
      <c r="A4" s="182">
        <v>3</v>
      </c>
      <c r="B4" t="s">
        <v>567</v>
      </c>
      <c r="C4" t="s">
        <v>568</v>
      </c>
      <c r="D4">
        <v>75000</v>
      </c>
      <c r="E4">
        <v>40</v>
      </c>
    </row>
    <row r="5" spans="1:5">
      <c r="A5" s="182">
        <v>4</v>
      </c>
      <c r="B5" t="s">
        <v>569</v>
      </c>
      <c r="C5" t="s">
        <v>570</v>
      </c>
      <c r="D5">
        <v>55000</v>
      </c>
      <c r="E5">
        <v>28</v>
      </c>
    </row>
    <row r="6" spans="1:5">
      <c r="A6" s="182">
        <v>5</v>
      </c>
      <c r="B6" t="s">
        <v>571</v>
      </c>
      <c r="C6" t="s">
        <v>572</v>
      </c>
      <c r="D6">
        <v>80000</v>
      </c>
      <c r="E6">
        <v>45</v>
      </c>
    </row>
    <row r="7" spans="1:5">
      <c r="A7" s="182">
        <v>6</v>
      </c>
      <c r="B7" t="s">
        <v>573</v>
      </c>
      <c r="C7" t="s">
        <v>574</v>
      </c>
      <c r="D7">
        <v>65000</v>
      </c>
      <c r="E7">
        <v>33</v>
      </c>
    </row>
    <row r="8" spans="1:5">
      <c r="A8" s="182">
        <v>7</v>
      </c>
      <c r="B8" t="s">
        <v>575</v>
      </c>
      <c r="C8" t="s">
        <v>576</v>
      </c>
      <c r="D8">
        <v>70000</v>
      </c>
      <c r="E8">
        <v>38</v>
      </c>
    </row>
    <row r="9" spans="1:5">
      <c r="A9" s="182">
        <v>8</v>
      </c>
      <c r="B9" t="s">
        <v>577</v>
      </c>
      <c r="C9" t="s">
        <v>578</v>
      </c>
      <c r="D9">
        <v>60000</v>
      </c>
      <c r="E9">
        <v>32</v>
      </c>
    </row>
    <row r="10" spans="1:5">
      <c r="A10" s="182">
        <v>9</v>
      </c>
      <c r="B10" t="s">
        <v>579</v>
      </c>
      <c r="C10" t="s">
        <v>580</v>
      </c>
      <c r="D10">
        <v>85000</v>
      </c>
      <c r="E10">
        <v>42</v>
      </c>
    </row>
    <row r="11" spans="1:5">
      <c r="A11" s="182">
        <v>10</v>
      </c>
      <c r="B11" t="s">
        <v>581</v>
      </c>
      <c r="C11" t="s">
        <v>582</v>
      </c>
      <c r="D11">
        <v>70000</v>
      </c>
      <c r="E11">
        <v>36</v>
      </c>
    </row>
    <row r="12" spans="1:5">
      <c r="A12" s="182">
        <v>11</v>
      </c>
      <c r="B12" t="s">
        <v>583</v>
      </c>
      <c r="C12" t="s">
        <v>584</v>
      </c>
      <c r="D12">
        <v>60000</v>
      </c>
      <c r="E12">
        <v>31</v>
      </c>
    </row>
    <row r="13" spans="1:5">
      <c r="A13" s="182">
        <v>12</v>
      </c>
      <c r="B13" t="s">
        <v>585</v>
      </c>
      <c r="C13" t="s">
        <v>586</v>
      </c>
      <c r="D13">
        <v>55000</v>
      </c>
      <c r="E13">
        <v>29</v>
      </c>
    </row>
    <row r="14" spans="1:5">
      <c r="A14" s="182">
        <v>13</v>
      </c>
      <c r="B14" t="s">
        <v>587</v>
      </c>
      <c r="C14" t="s">
        <v>566</v>
      </c>
      <c r="D14">
        <v>90000</v>
      </c>
      <c r="E14">
        <v>48</v>
      </c>
    </row>
    <row r="15" spans="1:5">
      <c r="A15" s="182">
        <v>14</v>
      </c>
      <c r="B15" t="s">
        <v>588</v>
      </c>
      <c r="C15" t="s">
        <v>589</v>
      </c>
      <c r="D15">
        <v>65000</v>
      </c>
      <c r="E15">
        <v>34</v>
      </c>
    </row>
    <row r="16" spans="1:5">
      <c r="A16" s="182">
        <v>15</v>
      </c>
      <c r="B16" t="s">
        <v>590</v>
      </c>
      <c r="C16" t="s">
        <v>591</v>
      </c>
      <c r="D16">
        <v>75000</v>
      </c>
      <c r="E16">
        <v>39</v>
      </c>
    </row>
    <row r="17" spans="1:5">
      <c r="A17" s="182">
        <v>16</v>
      </c>
      <c r="B17" t="s">
        <v>592</v>
      </c>
      <c r="C17" t="s">
        <v>593</v>
      </c>
      <c r="D17">
        <v>70000</v>
      </c>
      <c r="E17">
        <v>37</v>
      </c>
    </row>
    <row r="18" spans="1:5">
      <c r="A18" s="182">
        <v>17</v>
      </c>
      <c r="B18" t="s">
        <v>594</v>
      </c>
      <c r="C18" t="s">
        <v>595</v>
      </c>
      <c r="D18">
        <v>80000</v>
      </c>
      <c r="E18">
        <v>41</v>
      </c>
    </row>
    <row r="19" spans="1:5">
      <c r="A19" s="182">
        <v>18</v>
      </c>
      <c r="B19" t="s">
        <v>596</v>
      </c>
      <c r="C19" t="s">
        <v>597</v>
      </c>
      <c r="D19">
        <v>60000</v>
      </c>
      <c r="E19">
        <v>33</v>
      </c>
    </row>
    <row r="20" spans="1:5">
      <c r="A20" s="182">
        <v>19</v>
      </c>
      <c r="B20" t="s">
        <v>598</v>
      </c>
      <c r="C20" t="s">
        <v>599</v>
      </c>
      <c r="D20">
        <v>70000</v>
      </c>
      <c r="E20">
        <v>38</v>
      </c>
    </row>
    <row r="21" spans="1:5">
      <c r="A21" s="182">
        <v>20</v>
      </c>
      <c r="B21" t="s">
        <v>600</v>
      </c>
      <c r="C21" t="s">
        <v>601</v>
      </c>
      <c r="D21">
        <v>65000</v>
      </c>
      <c r="E21">
        <v>35</v>
      </c>
    </row>
  </sheetData>
  <conditionalFormatting sqref="D1:D1048576">
    <cfRule type="cellIs" dxfId="3" priority="1" operator="greaterThan">
      <formula>70000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opLeftCell="A3" workbookViewId="0">
      <selection activeCell="J8" sqref="J8"/>
    </sheetView>
  </sheetViews>
  <sheetFormatPr defaultRowHeight="15"/>
  <cols>
    <col min="1" max="1" width="10.28515625" bestFit="1" customWidth="1"/>
    <col min="2" max="2" width="15.7109375" bestFit="1" customWidth="1"/>
    <col min="3" max="3" width="16.28515625" bestFit="1" customWidth="1"/>
    <col min="4" max="4" width="11" bestFit="1" customWidth="1"/>
    <col min="5" max="5" width="7.7109375" bestFit="1" customWidth="1"/>
    <col min="6" max="6" width="11.5703125" customWidth="1"/>
    <col min="7" max="7" width="22.28515625" style="182" customWidth="1"/>
    <col min="8" max="8" width="15" customWidth="1"/>
  </cols>
  <sheetData>
    <row r="1" spans="1:8">
      <c r="A1" t="s">
        <v>606</v>
      </c>
      <c r="B1" t="s">
        <v>2</v>
      </c>
      <c r="C1" t="s">
        <v>607</v>
      </c>
      <c r="D1" t="s">
        <v>608</v>
      </c>
      <c r="E1" t="s">
        <v>609</v>
      </c>
      <c r="F1" t="s">
        <v>610</v>
      </c>
      <c r="G1" s="182" t="s">
        <v>641</v>
      </c>
      <c r="H1" t="s">
        <v>642</v>
      </c>
    </row>
    <row r="2" spans="1:8">
      <c r="A2">
        <v>11280</v>
      </c>
      <c r="B2" t="s">
        <v>611</v>
      </c>
      <c r="C2" t="s">
        <v>612</v>
      </c>
      <c r="D2">
        <v>15</v>
      </c>
      <c r="E2">
        <v>30000</v>
      </c>
      <c r="F2">
        <v>450000</v>
      </c>
      <c r="G2" s="182" t="str">
        <f>IF(Table_orders_page8[[#This Row],[Quantity]]&gt;20,"20% Yes","No")</f>
        <v>No</v>
      </c>
      <c r="H2">
        <f>IF(D2&gt;20,F2-F2*0.2,Table_orders_page8[[#This Row],[Total]])</f>
        <v>450000</v>
      </c>
    </row>
    <row r="3" spans="1:8">
      <c r="A3">
        <v>11281</v>
      </c>
      <c r="B3" t="s">
        <v>613</v>
      </c>
      <c r="C3" t="s">
        <v>614</v>
      </c>
      <c r="D3">
        <v>10</v>
      </c>
      <c r="E3">
        <v>25000</v>
      </c>
      <c r="F3">
        <v>250000</v>
      </c>
      <c r="G3" s="182" t="str">
        <f>IF(Table_orders_page8[[#This Row],[Quantity]]&gt;20,"20% Yes","No")</f>
        <v>No</v>
      </c>
      <c r="H3" s="182">
        <f>IF(D3&gt;20,F3-F3*0.2,Table_orders_page8[[#This Row],[Total]])</f>
        <v>250000</v>
      </c>
    </row>
    <row r="4" spans="1:8">
      <c r="A4">
        <v>11282</v>
      </c>
      <c r="B4" t="s">
        <v>615</v>
      </c>
      <c r="C4" t="s">
        <v>616</v>
      </c>
      <c r="D4">
        <v>150</v>
      </c>
      <c r="E4">
        <v>28000</v>
      </c>
      <c r="F4">
        <v>4200000</v>
      </c>
      <c r="G4" s="182" t="str">
        <f>IF(Table_orders_page8[[#This Row],[Quantity]]&gt;20,"20% Yes","No")</f>
        <v>20% Yes</v>
      </c>
      <c r="H4" s="182">
        <f>IF(D4&gt;20,F4-F4*0.2,Table_orders_page8[[#This Row],[Total]])</f>
        <v>3360000</v>
      </c>
    </row>
    <row r="5" spans="1:8">
      <c r="A5">
        <v>11283</v>
      </c>
      <c r="B5" t="s">
        <v>617</v>
      </c>
      <c r="C5" t="s">
        <v>618</v>
      </c>
      <c r="D5">
        <v>12</v>
      </c>
      <c r="E5">
        <v>30000</v>
      </c>
      <c r="F5">
        <v>360000</v>
      </c>
      <c r="G5" s="182" t="str">
        <f>IF(Table_orders_page8[[#This Row],[Quantity]]&gt;20,"20% Yes","No")</f>
        <v>No</v>
      </c>
      <c r="H5" s="182">
        <f>IF(D5&gt;20,F5-F5*0.2,Table_orders_page8[[#This Row],[Total]])</f>
        <v>360000</v>
      </c>
    </row>
    <row r="6" spans="1:8">
      <c r="A6">
        <v>11284</v>
      </c>
      <c r="B6" t="s">
        <v>619</v>
      </c>
      <c r="C6" t="s">
        <v>620</v>
      </c>
      <c r="D6">
        <v>20</v>
      </c>
      <c r="E6">
        <v>30000</v>
      </c>
      <c r="F6">
        <v>600000</v>
      </c>
      <c r="G6" s="182" t="str">
        <f>IF(Table_orders_page8[[#This Row],[Quantity]]&gt;20,"20% Yes","No")</f>
        <v>No</v>
      </c>
      <c r="H6" s="182">
        <f>IF(D6&gt;20,F6-F6*0.2,Table_orders_page8[[#This Row],[Total]])</f>
        <v>600000</v>
      </c>
    </row>
    <row r="7" spans="1:8">
      <c r="A7">
        <v>11285</v>
      </c>
      <c r="B7" t="s">
        <v>621</v>
      </c>
      <c r="C7" t="s">
        <v>622</v>
      </c>
      <c r="D7">
        <v>20</v>
      </c>
      <c r="E7">
        <v>26000</v>
      </c>
      <c r="F7">
        <v>520000</v>
      </c>
      <c r="G7" s="182" t="str">
        <f>IF(Table_orders_page8[[#This Row],[Quantity]]&gt;20,"20% Yes","No")</f>
        <v>No</v>
      </c>
      <c r="H7" s="182">
        <f>IF(D7&gt;20,F7-F7*0.2,Table_orders_page8[[#This Row],[Total]])</f>
        <v>520000</v>
      </c>
    </row>
    <row r="8" spans="1:8">
      <c r="A8">
        <v>11286</v>
      </c>
      <c r="B8" t="s">
        <v>623</v>
      </c>
      <c r="C8" t="s">
        <v>624</v>
      </c>
      <c r="D8">
        <v>2</v>
      </c>
      <c r="E8">
        <v>30000</v>
      </c>
      <c r="F8">
        <v>60000</v>
      </c>
      <c r="G8" s="182" t="str">
        <f>IF(Table_orders_page8[[#This Row],[Quantity]]&gt;20,"20% Yes","No")</f>
        <v>No</v>
      </c>
      <c r="H8" s="182">
        <f>IF(D8&gt;20,F8-F8*0.2,Table_orders_page8[[#This Row],[Total]])</f>
        <v>60000</v>
      </c>
    </row>
    <row r="9" spans="1:8">
      <c r="A9">
        <v>11287</v>
      </c>
      <c r="B9" t="s">
        <v>625</v>
      </c>
      <c r="C9" t="s">
        <v>626</v>
      </c>
      <c r="D9">
        <v>5</v>
      </c>
      <c r="E9">
        <v>35000</v>
      </c>
      <c r="F9">
        <v>175000</v>
      </c>
      <c r="G9" s="182" t="str">
        <f>IF(Table_orders_page8[[#This Row],[Quantity]]&gt;20,"20% Yes","No")</f>
        <v>No</v>
      </c>
      <c r="H9" s="182">
        <f>IF(D9&gt;20,F9-F9*0.2,Table_orders_page8[[#This Row],[Total]])</f>
        <v>175000</v>
      </c>
    </row>
    <row r="10" spans="1:8">
      <c r="A10">
        <v>11288</v>
      </c>
      <c r="B10" t="s">
        <v>627</v>
      </c>
      <c r="C10" t="s">
        <v>628</v>
      </c>
      <c r="D10">
        <v>80</v>
      </c>
      <c r="E10">
        <v>30000</v>
      </c>
      <c r="F10">
        <v>2400000</v>
      </c>
      <c r="G10" s="182" t="str">
        <f>IF(Table_orders_page8[[#This Row],[Quantity]]&gt;20,"20% Yes","No")</f>
        <v>20% Yes</v>
      </c>
      <c r="H10" s="182">
        <f>IF(D10&gt;20,F10-F10*0.2,Table_orders_page8[[#This Row],[Total]])</f>
        <v>1920000</v>
      </c>
    </row>
    <row r="11" spans="1:8">
      <c r="A11">
        <v>11289</v>
      </c>
      <c r="B11" t="s">
        <v>629</v>
      </c>
      <c r="C11" t="s">
        <v>630</v>
      </c>
      <c r="D11">
        <v>100</v>
      </c>
      <c r="E11">
        <v>26000</v>
      </c>
      <c r="F11">
        <v>2600000</v>
      </c>
      <c r="G11" s="182" t="str">
        <f>IF(Table_orders_page8[[#This Row],[Quantity]]&gt;20,"20% Yes","No")</f>
        <v>20% Yes</v>
      </c>
      <c r="H11" s="182">
        <f>IF(D11&gt;20,F11-F11*0.2,Table_orders_page8[[#This Row],[Total]])</f>
        <v>2080000</v>
      </c>
    </row>
    <row r="12" spans="1:8">
      <c r="A12">
        <v>11290</v>
      </c>
      <c r="B12" t="s">
        <v>631</v>
      </c>
      <c r="C12" t="s">
        <v>632</v>
      </c>
      <c r="D12">
        <v>20</v>
      </c>
      <c r="E12">
        <v>35000</v>
      </c>
      <c r="F12">
        <v>700000</v>
      </c>
      <c r="G12" s="182" t="str">
        <f>IF(Table_orders_page8[[#This Row],[Quantity]]&gt;20,"20% Yes","No")</f>
        <v>No</v>
      </c>
      <c r="H12" s="182">
        <f>IF(D12&gt;20,F12-F12*0.2,Table_orders_page8[[#This Row],[Total]])</f>
        <v>700000</v>
      </c>
    </row>
    <row r="13" spans="1:8">
      <c r="A13">
        <v>11291</v>
      </c>
      <c r="B13" t="s">
        <v>633</v>
      </c>
      <c r="C13" t="s">
        <v>634</v>
      </c>
      <c r="D13">
        <v>25</v>
      </c>
      <c r="E13">
        <v>40000</v>
      </c>
      <c r="F13">
        <v>1000000</v>
      </c>
      <c r="G13" s="182" t="str">
        <f>IF(Table_orders_page8[[#This Row],[Quantity]]&gt;20,"20% Yes","No")</f>
        <v>20% Yes</v>
      </c>
      <c r="H13" s="182">
        <f>IF(D13&gt;20,F13-F13*0.2,Table_orders_page8[[#This Row],[Total]])</f>
        <v>800000</v>
      </c>
    </row>
    <row r="14" spans="1:8">
      <c r="A14">
        <v>11292</v>
      </c>
      <c r="B14" t="s">
        <v>635</v>
      </c>
      <c r="C14" t="s">
        <v>616</v>
      </c>
      <c r="D14">
        <v>10</v>
      </c>
      <c r="E14">
        <v>28000</v>
      </c>
      <c r="F14">
        <v>280000</v>
      </c>
      <c r="G14" s="182" t="str">
        <f>IF(Table_orders_page8[[#This Row],[Quantity]]&gt;20,"20% Yes","No")</f>
        <v>No</v>
      </c>
      <c r="H14" s="182">
        <f>IF(D14&gt;20,F14-F14*0.2,Table_orders_page8[[#This Row],[Total]])</f>
        <v>280000</v>
      </c>
    </row>
    <row r="15" spans="1:8">
      <c r="A15">
        <v>11293</v>
      </c>
      <c r="B15" t="s">
        <v>636</v>
      </c>
      <c r="C15" t="s">
        <v>618</v>
      </c>
      <c r="D15">
        <v>10</v>
      </c>
      <c r="E15">
        <v>30000</v>
      </c>
      <c r="F15">
        <v>300000</v>
      </c>
      <c r="G15" s="182" t="str">
        <f>IF(Table_orders_page8[[#This Row],[Quantity]]&gt;20,"20% Yes","No")</f>
        <v>No</v>
      </c>
      <c r="H15" s="182">
        <f>IF(D15&gt;20,F15-F15*0.2,Table_orders_page8[[#This Row],[Total]])</f>
        <v>300000</v>
      </c>
    </row>
    <row r="16" spans="1:8">
      <c r="A16">
        <v>11294</v>
      </c>
      <c r="B16" t="s">
        <v>637</v>
      </c>
      <c r="C16" t="s">
        <v>620</v>
      </c>
      <c r="D16">
        <v>5</v>
      </c>
      <c r="E16">
        <v>30000</v>
      </c>
      <c r="F16">
        <v>150000</v>
      </c>
      <c r="G16" s="182" t="str">
        <f>IF(Table_orders_page8[[#This Row],[Quantity]]&gt;20,"20% Yes","No")</f>
        <v>No</v>
      </c>
      <c r="H16" s="182">
        <f>IF(D16&gt;20,F16-F16*0.2,Table_orders_page8[[#This Row],[Total]])</f>
        <v>150000</v>
      </c>
    </row>
    <row r="17" spans="1:8">
      <c r="A17">
        <v>11295</v>
      </c>
      <c r="B17" t="s">
        <v>638</v>
      </c>
      <c r="C17" t="s">
        <v>622</v>
      </c>
      <c r="D17">
        <v>180</v>
      </c>
      <c r="E17">
        <v>26000</v>
      </c>
      <c r="F17">
        <v>4680000</v>
      </c>
      <c r="G17" s="182" t="str">
        <f>IF(Table_orders_page8[[#This Row],[Quantity]]&gt;20,"20% Yes","No")</f>
        <v>20% Yes</v>
      </c>
      <c r="H17" s="182">
        <f>IF(D17&gt;20,F17-F17*0.2,Table_orders_page8[[#This Row],[Total]])</f>
        <v>3744000</v>
      </c>
    </row>
    <row r="18" spans="1:8">
      <c r="A18">
        <v>11296</v>
      </c>
      <c r="B18" t="s">
        <v>639</v>
      </c>
      <c r="C18" t="s">
        <v>624</v>
      </c>
      <c r="D18">
        <v>5</v>
      </c>
      <c r="E18">
        <v>30000</v>
      </c>
      <c r="F18">
        <v>150000</v>
      </c>
      <c r="G18" s="182" t="str">
        <f>IF(Table_orders_page8[[#This Row],[Quantity]]&gt;20,"20% Yes","No")</f>
        <v>No</v>
      </c>
      <c r="H18" s="182">
        <f>IF(D18&gt;20,F18-F18*0.2,Table_orders_page8[[#This Row],[Total]])</f>
        <v>150000</v>
      </c>
    </row>
    <row r="19" spans="1:8">
      <c r="A19">
        <v>11297</v>
      </c>
      <c r="B19" t="s">
        <v>640</v>
      </c>
      <c r="C19" t="s">
        <v>626</v>
      </c>
      <c r="D19">
        <v>250</v>
      </c>
      <c r="E19">
        <v>35000</v>
      </c>
      <c r="F19">
        <v>8750000</v>
      </c>
      <c r="G19" s="182" t="str">
        <f>IF(Table_orders_page8[[#This Row],[Quantity]]&gt;20,"20% Yes","No")</f>
        <v>20% Yes</v>
      </c>
      <c r="H19" s="182">
        <f>IF(D19&gt;20,F19-F19*0.2,Table_orders_page8[[#This Row],[Total]])</f>
        <v>7000000</v>
      </c>
    </row>
  </sheetData>
  <conditionalFormatting sqref="F1:G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{CAD6EF10-FADB-4B5B-A761-B5EEDE2E50EE}</x14:id>
        </ext>
      </extLst>
    </cfRule>
  </conditionalFormatting>
  <conditionalFormatting sqref="D1:D1048576">
    <cfRule type="cellIs" dxfId="2" priority="1" operator="greaterThan">
      <formula>20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6EF10-FADB-4B5B-A761-B5EEDE2E50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to 26 questions</vt:lpstr>
      <vt:lpstr>27 no.question</vt:lpstr>
      <vt:lpstr>28.no.question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syamu</dc:creator>
  <cp:lastModifiedBy>syamu</cp:lastModifiedBy>
  <dcterms:created xsi:type="dcterms:W3CDTF">2025-12-11T13:04:50Z</dcterms:created>
  <dcterms:modified xsi:type="dcterms:W3CDTF">2025-12-16T06:41:59Z</dcterms:modified>
</cp:coreProperties>
</file>